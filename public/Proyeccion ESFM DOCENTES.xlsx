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-JP\Desktop\PROYECTO\proyeccion\public\"/>
    </mc:Choice>
  </mc:AlternateContent>
  <xr:revisionPtr revIDLastSave="0" documentId="13_ncr:1_{A6579BA6-A81C-440E-A9D0-4ABC2A9B7B17}" xr6:coauthVersionLast="47" xr6:coauthVersionMax="47" xr10:uidLastSave="{00000000-0000-0000-0000-000000000000}"/>
  <bookViews>
    <workbookView xWindow="-120" yWindow="-120" windowWidth="29040" windowHeight="15720" activeTab="4" xr2:uid="{2CB8536B-2E20-4CAA-BD8B-157EF4BA6740}"/>
  </bookViews>
  <sheets>
    <sheet name="2026" sheetId="1" r:id="rId1"/>
    <sheet name="2031" sheetId="2" r:id="rId2"/>
    <sheet name="2026-1" sheetId="3" r:id="rId3"/>
    <sheet name="2031-1" sheetId="4" r:id="rId4"/>
    <sheet name="IPE-20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2" l="1"/>
  <c r="K18" i="2"/>
  <c r="J2" i="2"/>
  <c r="F135" i="2"/>
  <c r="E135" i="2"/>
  <c r="C134" i="2"/>
  <c r="D134" i="2" s="1"/>
  <c r="G134" i="2" s="1"/>
  <c r="C133" i="2"/>
  <c r="D133" i="2" s="1"/>
  <c r="G133" i="2" s="1"/>
  <c r="C132" i="2"/>
  <c r="D132" i="2" s="1"/>
  <c r="G132" i="2" s="1"/>
  <c r="C131" i="2"/>
  <c r="D131" i="2" s="1"/>
  <c r="G131" i="2" s="1"/>
  <c r="C130" i="2"/>
  <c r="D130" i="2" s="1"/>
  <c r="G130" i="2" s="1"/>
  <c r="C129" i="2"/>
  <c r="D129" i="2" s="1"/>
  <c r="G129" i="2" s="1"/>
  <c r="C128" i="2"/>
  <c r="D128" i="2" s="1"/>
  <c r="G128" i="2" s="1"/>
  <c r="C127" i="2"/>
  <c r="D127" i="2" s="1"/>
  <c r="G127" i="2" s="1"/>
  <c r="C126" i="2"/>
  <c r="D126" i="2" s="1"/>
  <c r="F123" i="2"/>
  <c r="E123" i="2"/>
  <c r="C122" i="2"/>
  <c r="D122" i="2" s="1"/>
  <c r="G122" i="2" s="1"/>
  <c r="C121" i="2"/>
  <c r="D121" i="2" s="1"/>
  <c r="G121" i="2" s="1"/>
  <c r="C120" i="2"/>
  <c r="D120" i="2" s="1"/>
  <c r="G120" i="2" s="1"/>
  <c r="C119" i="2"/>
  <c r="D119" i="2" s="1"/>
  <c r="G119" i="2" s="1"/>
  <c r="C118" i="2"/>
  <c r="D118" i="2" s="1"/>
  <c r="G118" i="2" s="1"/>
  <c r="C117" i="2"/>
  <c r="D117" i="2" s="1"/>
  <c r="G117" i="2" s="1"/>
  <c r="C116" i="2"/>
  <c r="D116" i="2" s="1"/>
  <c r="G116" i="2" s="1"/>
  <c r="C115" i="2"/>
  <c r="D115" i="2" s="1"/>
  <c r="G115" i="2" s="1"/>
  <c r="C114" i="2"/>
  <c r="D114" i="2" s="1"/>
  <c r="F111" i="2"/>
  <c r="E111" i="2"/>
  <c r="C110" i="2"/>
  <c r="D110" i="2" s="1"/>
  <c r="G110" i="2" s="1"/>
  <c r="C109" i="2"/>
  <c r="D109" i="2" s="1"/>
  <c r="G109" i="2" s="1"/>
  <c r="C108" i="2"/>
  <c r="D108" i="2" s="1"/>
  <c r="G108" i="2" s="1"/>
  <c r="C107" i="2"/>
  <c r="D107" i="2" s="1"/>
  <c r="G107" i="2" s="1"/>
  <c r="C106" i="2"/>
  <c r="D106" i="2" s="1"/>
  <c r="G106" i="2" s="1"/>
  <c r="C105" i="2"/>
  <c r="D105" i="2" s="1"/>
  <c r="G105" i="2" s="1"/>
  <c r="C104" i="2"/>
  <c r="D104" i="2" s="1"/>
  <c r="G104" i="2" s="1"/>
  <c r="C103" i="2"/>
  <c r="D103" i="2" s="1"/>
  <c r="G103" i="2" s="1"/>
  <c r="C102" i="2"/>
  <c r="D102" i="2" s="1"/>
  <c r="F99" i="2"/>
  <c r="E99" i="2"/>
  <c r="C98" i="2"/>
  <c r="D98" i="2" s="1"/>
  <c r="G98" i="2" s="1"/>
  <c r="C97" i="2"/>
  <c r="D97" i="2" s="1"/>
  <c r="G97" i="2" s="1"/>
  <c r="C96" i="2"/>
  <c r="D96" i="2" s="1"/>
  <c r="G96" i="2" s="1"/>
  <c r="C95" i="2"/>
  <c r="D95" i="2" s="1"/>
  <c r="G95" i="2" s="1"/>
  <c r="C94" i="2"/>
  <c r="D94" i="2" s="1"/>
  <c r="G94" i="2" s="1"/>
  <c r="C93" i="2"/>
  <c r="D93" i="2" s="1"/>
  <c r="G93" i="2" s="1"/>
  <c r="C92" i="2"/>
  <c r="D92" i="2" s="1"/>
  <c r="G92" i="2" s="1"/>
  <c r="C91" i="2"/>
  <c r="D91" i="2" s="1"/>
  <c r="G91" i="2" s="1"/>
  <c r="C90" i="2"/>
  <c r="D90" i="2" s="1"/>
  <c r="F87" i="2"/>
  <c r="E87" i="2"/>
  <c r="C86" i="2"/>
  <c r="D86" i="2" s="1"/>
  <c r="G86" i="2" s="1"/>
  <c r="C85" i="2"/>
  <c r="D85" i="2" s="1"/>
  <c r="G85" i="2" s="1"/>
  <c r="C84" i="2"/>
  <c r="D84" i="2" s="1"/>
  <c r="G84" i="2" s="1"/>
  <c r="C83" i="2"/>
  <c r="D83" i="2" s="1"/>
  <c r="G83" i="2" s="1"/>
  <c r="C82" i="2"/>
  <c r="D82" i="2" s="1"/>
  <c r="G82" i="2" s="1"/>
  <c r="C81" i="2"/>
  <c r="D81" i="2" s="1"/>
  <c r="G81" i="2" s="1"/>
  <c r="C80" i="2"/>
  <c r="D80" i="2" s="1"/>
  <c r="G80" i="2" s="1"/>
  <c r="C79" i="2"/>
  <c r="D79" i="2" s="1"/>
  <c r="G79" i="2" s="1"/>
  <c r="C78" i="2"/>
  <c r="D78" i="2" s="1"/>
  <c r="F75" i="2"/>
  <c r="E75" i="2"/>
  <c r="C74" i="2"/>
  <c r="D74" i="2" s="1"/>
  <c r="G74" i="2" s="1"/>
  <c r="C73" i="2"/>
  <c r="D73" i="2" s="1"/>
  <c r="G73" i="2" s="1"/>
  <c r="C72" i="2"/>
  <c r="D72" i="2" s="1"/>
  <c r="G72" i="2" s="1"/>
  <c r="C71" i="2"/>
  <c r="D71" i="2" s="1"/>
  <c r="G71" i="2" s="1"/>
  <c r="C70" i="2"/>
  <c r="D70" i="2" s="1"/>
  <c r="G70" i="2" s="1"/>
  <c r="C69" i="2"/>
  <c r="D69" i="2" s="1"/>
  <c r="G69" i="2" s="1"/>
  <c r="C68" i="2"/>
  <c r="D68" i="2" s="1"/>
  <c r="G68" i="2" s="1"/>
  <c r="C67" i="2"/>
  <c r="D67" i="2" s="1"/>
  <c r="G67" i="2" s="1"/>
  <c r="C66" i="2"/>
  <c r="D66" i="2" s="1"/>
  <c r="F63" i="2"/>
  <c r="E63" i="2"/>
  <c r="C62" i="2"/>
  <c r="D62" i="2" s="1"/>
  <c r="G62" i="2" s="1"/>
  <c r="C61" i="2"/>
  <c r="D61" i="2" s="1"/>
  <c r="G61" i="2" s="1"/>
  <c r="C60" i="2"/>
  <c r="D60" i="2" s="1"/>
  <c r="G60" i="2" s="1"/>
  <c r="C59" i="2"/>
  <c r="D59" i="2" s="1"/>
  <c r="G59" i="2" s="1"/>
  <c r="C58" i="2"/>
  <c r="D58" i="2" s="1"/>
  <c r="G58" i="2" s="1"/>
  <c r="C57" i="2"/>
  <c r="D57" i="2" s="1"/>
  <c r="G57" i="2" s="1"/>
  <c r="C56" i="2"/>
  <c r="D56" i="2" s="1"/>
  <c r="G56" i="2" s="1"/>
  <c r="C55" i="2"/>
  <c r="D55" i="2" s="1"/>
  <c r="G55" i="2" s="1"/>
  <c r="C54" i="2"/>
  <c r="D54" i="2" s="1"/>
  <c r="F51" i="2"/>
  <c r="E51" i="2"/>
  <c r="C50" i="2"/>
  <c r="D50" i="2" s="1"/>
  <c r="G50" i="2" s="1"/>
  <c r="C49" i="2"/>
  <c r="D49" i="2" s="1"/>
  <c r="G49" i="2" s="1"/>
  <c r="C48" i="2"/>
  <c r="D48" i="2" s="1"/>
  <c r="G48" i="2" s="1"/>
  <c r="C47" i="2"/>
  <c r="D47" i="2" s="1"/>
  <c r="G47" i="2" s="1"/>
  <c r="C46" i="2"/>
  <c r="D46" i="2" s="1"/>
  <c r="G46" i="2" s="1"/>
  <c r="C45" i="2"/>
  <c r="D45" i="2" s="1"/>
  <c r="G45" i="2" s="1"/>
  <c r="C44" i="2"/>
  <c r="D44" i="2" s="1"/>
  <c r="G44" i="2" s="1"/>
  <c r="C43" i="2"/>
  <c r="D43" i="2" s="1"/>
  <c r="G43" i="2" s="1"/>
  <c r="C42" i="2"/>
  <c r="D42" i="2" s="1"/>
  <c r="F39" i="2"/>
  <c r="E39" i="2"/>
  <c r="C38" i="2"/>
  <c r="D38" i="2" s="1"/>
  <c r="G38" i="2" s="1"/>
  <c r="C37" i="2"/>
  <c r="D37" i="2" s="1"/>
  <c r="G37" i="2" s="1"/>
  <c r="C36" i="2"/>
  <c r="D36" i="2" s="1"/>
  <c r="G36" i="2" s="1"/>
  <c r="C35" i="2"/>
  <c r="D35" i="2" s="1"/>
  <c r="G35" i="2" s="1"/>
  <c r="C34" i="2"/>
  <c r="D34" i="2" s="1"/>
  <c r="G34" i="2" s="1"/>
  <c r="C33" i="2"/>
  <c r="D33" i="2" s="1"/>
  <c r="G33" i="2" s="1"/>
  <c r="C32" i="2"/>
  <c r="D32" i="2" s="1"/>
  <c r="G32" i="2" s="1"/>
  <c r="C31" i="2"/>
  <c r="D31" i="2" s="1"/>
  <c r="G31" i="2" s="1"/>
  <c r="C30" i="2"/>
  <c r="D30" i="2" s="1"/>
  <c r="F27" i="2"/>
  <c r="E27" i="2"/>
  <c r="C26" i="2"/>
  <c r="D26" i="2" s="1"/>
  <c r="G26" i="2" s="1"/>
  <c r="C25" i="2"/>
  <c r="D25" i="2" s="1"/>
  <c r="G25" i="2" s="1"/>
  <c r="C24" i="2"/>
  <c r="D24" i="2" s="1"/>
  <c r="G24" i="2" s="1"/>
  <c r="C23" i="2"/>
  <c r="D23" i="2" s="1"/>
  <c r="G23" i="2" s="1"/>
  <c r="C22" i="2"/>
  <c r="D22" i="2" s="1"/>
  <c r="G22" i="2" s="1"/>
  <c r="C21" i="2"/>
  <c r="D21" i="2" s="1"/>
  <c r="G21" i="2" s="1"/>
  <c r="C20" i="2"/>
  <c r="D20" i="2" s="1"/>
  <c r="G20" i="2" s="1"/>
  <c r="C19" i="2"/>
  <c r="D19" i="2" s="1"/>
  <c r="G19" i="2" s="1"/>
  <c r="C18" i="2"/>
  <c r="D18" i="2" s="1"/>
  <c r="F15" i="2"/>
  <c r="E15" i="2"/>
  <c r="C14" i="2"/>
  <c r="D14" i="2" s="1"/>
  <c r="G14" i="2" s="1"/>
  <c r="C13" i="2"/>
  <c r="D13" i="2" s="1"/>
  <c r="G13" i="2" s="1"/>
  <c r="C12" i="2"/>
  <c r="D12" i="2" s="1"/>
  <c r="G12" i="2" s="1"/>
  <c r="C11" i="2"/>
  <c r="D11" i="2" s="1"/>
  <c r="G11" i="2" s="1"/>
  <c r="C10" i="2"/>
  <c r="D10" i="2" s="1"/>
  <c r="G10" i="2" s="1"/>
  <c r="C9" i="2"/>
  <c r="D9" i="2" s="1"/>
  <c r="G9" i="2" s="1"/>
  <c r="C8" i="2"/>
  <c r="D8" i="2" s="1"/>
  <c r="G8" i="2" s="1"/>
  <c r="C7" i="2"/>
  <c r="D7" i="2" s="1"/>
  <c r="G7" i="2" s="1"/>
  <c r="C6" i="2"/>
  <c r="O5" i="2"/>
  <c r="P5" i="2" s="1"/>
  <c r="Q5" i="2" s="1"/>
  <c r="O4" i="2"/>
  <c r="P4" i="2" s="1"/>
  <c r="Q4" i="2" s="1"/>
  <c r="J1" i="2"/>
  <c r="D108" i="1"/>
  <c r="D109" i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09" i="1"/>
  <c r="C108" i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G90" i="1" s="1"/>
  <c r="C89" i="1"/>
  <c r="D89" i="1" s="1"/>
  <c r="C85" i="1"/>
  <c r="D85" i="1" s="1"/>
  <c r="C84" i="1"/>
  <c r="D84" i="1" s="1"/>
  <c r="G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G77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G55" i="1" s="1"/>
  <c r="C54" i="1"/>
  <c r="D54" i="1" s="1"/>
  <c r="G54" i="1" s="1"/>
  <c r="C53" i="1"/>
  <c r="D53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0" i="1"/>
  <c r="D20" i="1" s="1"/>
  <c r="C18" i="1"/>
  <c r="D18" i="1" s="1"/>
  <c r="C17" i="1"/>
  <c r="D17" i="1" s="1"/>
  <c r="C25" i="1"/>
  <c r="D25" i="1" s="1"/>
  <c r="C24" i="1"/>
  <c r="D24" i="1" s="1"/>
  <c r="C23" i="1"/>
  <c r="D23" i="1" s="1"/>
  <c r="C22" i="1"/>
  <c r="D22" i="1" s="1"/>
  <c r="C21" i="1"/>
  <c r="D21" i="1" s="1"/>
  <c r="C19" i="1"/>
  <c r="D19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5" i="1"/>
  <c r="D5" i="1" s="1"/>
  <c r="F134" i="1"/>
  <c r="E134" i="1"/>
  <c r="F122" i="1"/>
  <c r="E122" i="1"/>
  <c r="F110" i="1"/>
  <c r="E110" i="1"/>
  <c r="F98" i="1"/>
  <c r="E98" i="1"/>
  <c r="F86" i="1"/>
  <c r="E86" i="1"/>
  <c r="F74" i="1"/>
  <c r="E74" i="1"/>
  <c r="F62" i="1"/>
  <c r="E62" i="1"/>
  <c r="F14" i="1"/>
  <c r="F26" i="1"/>
  <c r="F38" i="1"/>
  <c r="F50" i="1"/>
  <c r="E50" i="1"/>
  <c r="E38" i="1"/>
  <c r="E26" i="1"/>
  <c r="E14" i="1"/>
  <c r="J1" i="1" s="1"/>
  <c r="H134" i="2" l="1"/>
  <c r="H133" i="2"/>
  <c r="H132" i="2"/>
  <c r="H131" i="2"/>
  <c r="H130" i="2"/>
  <c r="H129" i="2"/>
  <c r="H128" i="2"/>
  <c r="H127" i="2"/>
  <c r="G126" i="2"/>
  <c r="D135" i="2"/>
  <c r="G135" i="2" s="1"/>
  <c r="H122" i="2"/>
  <c r="H121" i="2"/>
  <c r="H120" i="2"/>
  <c r="H119" i="2"/>
  <c r="H118" i="2"/>
  <c r="H117" i="2"/>
  <c r="H116" i="2"/>
  <c r="H115" i="2"/>
  <c r="G114" i="2"/>
  <c r="D123" i="2"/>
  <c r="G123" i="2" s="1"/>
  <c r="H110" i="2"/>
  <c r="H109" i="2"/>
  <c r="H108" i="2"/>
  <c r="H107" i="2"/>
  <c r="H106" i="2"/>
  <c r="H105" i="2"/>
  <c r="H104" i="2"/>
  <c r="H103" i="2"/>
  <c r="G102" i="2"/>
  <c r="D111" i="2"/>
  <c r="G111" i="2" s="1"/>
  <c r="H98" i="2"/>
  <c r="H97" i="2"/>
  <c r="H96" i="2"/>
  <c r="H95" i="2"/>
  <c r="H94" i="2"/>
  <c r="H93" i="2"/>
  <c r="H92" i="2"/>
  <c r="H91" i="2"/>
  <c r="G90" i="2"/>
  <c r="D99" i="2"/>
  <c r="G99" i="2" s="1"/>
  <c r="H86" i="2"/>
  <c r="H85" i="2"/>
  <c r="H84" i="2"/>
  <c r="H83" i="2"/>
  <c r="H82" i="2"/>
  <c r="H81" i="2"/>
  <c r="H80" i="2"/>
  <c r="H79" i="2"/>
  <c r="G78" i="2"/>
  <c r="D87" i="2"/>
  <c r="G87" i="2" s="1"/>
  <c r="H74" i="2"/>
  <c r="H73" i="2"/>
  <c r="H72" i="2"/>
  <c r="H71" i="2"/>
  <c r="H70" i="2"/>
  <c r="H69" i="2"/>
  <c r="H68" i="2"/>
  <c r="H67" i="2"/>
  <c r="G66" i="2"/>
  <c r="D75" i="2"/>
  <c r="G75" i="2" s="1"/>
  <c r="H62" i="2"/>
  <c r="H61" i="2"/>
  <c r="H60" i="2"/>
  <c r="H59" i="2"/>
  <c r="H58" i="2"/>
  <c r="H57" i="2"/>
  <c r="H56" i="2"/>
  <c r="H55" i="2"/>
  <c r="G54" i="2"/>
  <c r="D63" i="2"/>
  <c r="G63" i="2" s="1"/>
  <c r="H50" i="2"/>
  <c r="H49" i="2"/>
  <c r="H48" i="2"/>
  <c r="H47" i="2"/>
  <c r="H46" i="2"/>
  <c r="H45" i="2"/>
  <c r="H44" i="2"/>
  <c r="H43" i="2"/>
  <c r="G42" i="2"/>
  <c r="D51" i="2"/>
  <c r="G51" i="2" s="1"/>
  <c r="H38" i="2"/>
  <c r="H37" i="2"/>
  <c r="H36" i="2"/>
  <c r="H35" i="2"/>
  <c r="H34" i="2"/>
  <c r="H33" i="2"/>
  <c r="H32" i="2"/>
  <c r="H31" i="2"/>
  <c r="G30" i="2"/>
  <c r="D39" i="2"/>
  <c r="G39" i="2" s="1"/>
  <c r="H26" i="2"/>
  <c r="H25" i="2"/>
  <c r="H24" i="2"/>
  <c r="H23" i="2"/>
  <c r="H22" i="2"/>
  <c r="H21" i="2"/>
  <c r="H20" i="2"/>
  <c r="H19" i="2"/>
  <c r="G18" i="2"/>
  <c r="D27" i="2"/>
  <c r="G27" i="2" s="1"/>
  <c r="H14" i="2"/>
  <c r="H13" i="2"/>
  <c r="H12" i="2"/>
  <c r="H11" i="2"/>
  <c r="H10" i="2"/>
  <c r="H9" i="2"/>
  <c r="H8" i="2"/>
  <c r="H7" i="2"/>
  <c r="C15" i="2"/>
  <c r="O6" i="2"/>
  <c r="P6" i="2" s="1"/>
  <c r="Q6" i="2" s="1"/>
  <c r="Q7" i="2" s="1"/>
  <c r="Q8" i="2" s="1"/>
  <c r="D6" i="2"/>
  <c r="D15" i="2" s="1"/>
  <c r="J3" i="2" s="1"/>
  <c r="D14" i="1"/>
  <c r="G14" i="1" s="1"/>
  <c r="H90" i="1"/>
  <c r="I90" i="1" s="1"/>
  <c r="K90" i="1" s="1"/>
  <c r="J90" i="1"/>
  <c r="H84" i="1"/>
  <c r="I84" i="1" s="1"/>
  <c r="K84" i="1" s="1"/>
  <c r="J84" i="1"/>
  <c r="H77" i="1"/>
  <c r="I77" i="1" s="1"/>
  <c r="K77" i="1" s="1"/>
  <c r="J77" i="1"/>
  <c r="H55" i="1"/>
  <c r="I55" i="1" s="1"/>
  <c r="K55" i="1" s="1"/>
  <c r="J55" i="1"/>
  <c r="H54" i="1"/>
  <c r="I54" i="1" s="1"/>
  <c r="K54" i="1" s="1"/>
  <c r="J54" i="1"/>
  <c r="G105" i="1"/>
  <c r="G41" i="1"/>
  <c r="G106" i="1"/>
  <c r="G103" i="1"/>
  <c r="G102" i="1"/>
  <c r="G104" i="1"/>
  <c r="G133" i="1"/>
  <c r="G132" i="1"/>
  <c r="G131" i="1"/>
  <c r="G130" i="1"/>
  <c r="G129" i="1"/>
  <c r="G128" i="1"/>
  <c r="G127" i="1"/>
  <c r="G126" i="1"/>
  <c r="G121" i="1"/>
  <c r="G119" i="1"/>
  <c r="G116" i="1"/>
  <c r="G115" i="1"/>
  <c r="G120" i="1"/>
  <c r="G118" i="1"/>
  <c r="G117" i="1"/>
  <c r="G114" i="1"/>
  <c r="G108" i="1"/>
  <c r="G107" i="1"/>
  <c r="G109" i="1"/>
  <c r="G97" i="1"/>
  <c r="G93" i="1"/>
  <c r="G96" i="1"/>
  <c r="G92" i="1"/>
  <c r="G95" i="1"/>
  <c r="G94" i="1"/>
  <c r="G91" i="1"/>
  <c r="G85" i="1"/>
  <c r="G83" i="1"/>
  <c r="G82" i="1"/>
  <c r="G81" i="1"/>
  <c r="G80" i="1"/>
  <c r="G79" i="1"/>
  <c r="G78" i="1"/>
  <c r="G72" i="1"/>
  <c r="G73" i="1"/>
  <c r="G71" i="1"/>
  <c r="G70" i="1"/>
  <c r="G69" i="1"/>
  <c r="G68" i="1"/>
  <c r="G67" i="1"/>
  <c r="G66" i="1"/>
  <c r="G61" i="1"/>
  <c r="G60" i="1"/>
  <c r="G59" i="1"/>
  <c r="G58" i="1"/>
  <c r="G57" i="1"/>
  <c r="G56" i="1"/>
  <c r="G53" i="1"/>
  <c r="G49" i="1"/>
  <c r="G48" i="1"/>
  <c r="G47" i="1"/>
  <c r="G46" i="1"/>
  <c r="G45" i="1"/>
  <c r="G44" i="1"/>
  <c r="G43" i="1"/>
  <c r="G42" i="1"/>
  <c r="G37" i="1"/>
  <c r="G36" i="1"/>
  <c r="G35" i="1"/>
  <c r="G34" i="1"/>
  <c r="G33" i="1"/>
  <c r="G32" i="1"/>
  <c r="G31" i="1"/>
  <c r="G30" i="1"/>
  <c r="G29" i="1"/>
  <c r="G20" i="1"/>
  <c r="G24" i="1"/>
  <c r="G22" i="1"/>
  <c r="G18" i="1"/>
  <c r="J18" i="1" s="1"/>
  <c r="G25" i="1"/>
  <c r="G23" i="1"/>
  <c r="G21" i="1"/>
  <c r="G19" i="1"/>
  <c r="G7" i="1"/>
  <c r="G8" i="1"/>
  <c r="G10" i="1"/>
  <c r="G12" i="1"/>
  <c r="G13" i="1"/>
  <c r="G6" i="1"/>
  <c r="G9" i="1"/>
  <c r="G11" i="1"/>
  <c r="H18" i="1"/>
  <c r="I18" i="1" s="1"/>
  <c r="K18" i="1" s="1"/>
  <c r="O5" i="1"/>
  <c r="P5" i="1" s="1"/>
  <c r="Q5" i="1" s="1"/>
  <c r="O4" i="1"/>
  <c r="P4" i="1" s="1"/>
  <c r="Q4" i="1" s="1"/>
  <c r="O3" i="1"/>
  <c r="P3" i="1" s="1"/>
  <c r="Q3" i="1" s="1"/>
  <c r="Q6" i="1" s="1"/>
  <c r="Q7" i="1" s="1"/>
  <c r="C14" i="1"/>
  <c r="G5" i="1"/>
  <c r="J5" i="1" s="1"/>
  <c r="D50" i="1"/>
  <c r="G50" i="1" s="1"/>
  <c r="D62" i="1"/>
  <c r="G62" i="1" s="1"/>
  <c r="D86" i="1"/>
  <c r="G86" i="1" s="1"/>
  <c r="D110" i="1"/>
  <c r="G110" i="1" s="1"/>
  <c r="G101" i="1"/>
  <c r="D98" i="1"/>
  <c r="G98" i="1" s="1"/>
  <c r="G89" i="1"/>
  <c r="D74" i="1"/>
  <c r="G74" i="1" s="1"/>
  <c r="G65" i="1"/>
  <c r="G125" i="1"/>
  <c r="D134" i="1"/>
  <c r="G134" i="1" s="1"/>
  <c r="D122" i="1"/>
  <c r="G122" i="1" s="1"/>
  <c r="G113" i="1"/>
  <c r="D38" i="1"/>
  <c r="G38" i="1" s="1"/>
  <c r="D26" i="1"/>
  <c r="G17" i="1"/>
  <c r="J17" i="1" s="1"/>
  <c r="I134" i="2" l="1"/>
  <c r="K134" i="2" s="1"/>
  <c r="J134" i="2"/>
  <c r="I133" i="2"/>
  <c r="K133" i="2" s="1"/>
  <c r="J133" i="2"/>
  <c r="I132" i="2"/>
  <c r="K132" i="2" s="1"/>
  <c r="J132" i="2"/>
  <c r="I131" i="2"/>
  <c r="K131" i="2" s="1"/>
  <c r="J131" i="2"/>
  <c r="I130" i="2"/>
  <c r="K130" i="2" s="1"/>
  <c r="J130" i="2"/>
  <c r="I129" i="2"/>
  <c r="K129" i="2" s="1"/>
  <c r="J129" i="2"/>
  <c r="I128" i="2"/>
  <c r="K128" i="2" s="1"/>
  <c r="J128" i="2"/>
  <c r="I127" i="2"/>
  <c r="K127" i="2" s="1"/>
  <c r="J127" i="2"/>
  <c r="I122" i="2"/>
  <c r="K122" i="2" s="1"/>
  <c r="J122" i="2"/>
  <c r="I121" i="2"/>
  <c r="K121" i="2" s="1"/>
  <c r="J121" i="2"/>
  <c r="I120" i="2"/>
  <c r="K120" i="2" s="1"/>
  <c r="J120" i="2"/>
  <c r="I119" i="2"/>
  <c r="K119" i="2" s="1"/>
  <c r="J119" i="2"/>
  <c r="I118" i="2"/>
  <c r="K118" i="2" s="1"/>
  <c r="J118" i="2"/>
  <c r="I117" i="2"/>
  <c r="K117" i="2" s="1"/>
  <c r="J117" i="2"/>
  <c r="I116" i="2"/>
  <c r="K116" i="2" s="1"/>
  <c r="J116" i="2"/>
  <c r="I115" i="2"/>
  <c r="K115" i="2" s="1"/>
  <c r="J115" i="2"/>
  <c r="I110" i="2"/>
  <c r="K110" i="2" s="1"/>
  <c r="J110" i="2"/>
  <c r="I109" i="2"/>
  <c r="K109" i="2" s="1"/>
  <c r="J109" i="2"/>
  <c r="I108" i="2"/>
  <c r="K108" i="2" s="1"/>
  <c r="J108" i="2"/>
  <c r="I107" i="2"/>
  <c r="K107" i="2" s="1"/>
  <c r="J107" i="2"/>
  <c r="I106" i="2"/>
  <c r="K106" i="2" s="1"/>
  <c r="J106" i="2"/>
  <c r="I105" i="2"/>
  <c r="K105" i="2" s="1"/>
  <c r="J105" i="2"/>
  <c r="I104" i="2"/>
  <c r="K104" i="2" s="1"/>
  <c r="J104" i="2"/>
  <c r="I103" i="2"/>
  <c r="K103" i="2" s="1"/>
  <c r="J103" i="2"/>
  <c r="I98" i="2"/>
  <c r="K98" i="2" s="1"/>
  <c r="J98" i="2"/>
  <c r="I97" i="2"/>
  <c r="K97" i="2" s="1"/>
  <c r="J97" i="2"/>
  <c r="I96" i="2"/>
  <c r="K96" i="2" s="1"/>
  <c r="J96" i="2"/>
  <c r="I95" i="2"/>
  <c r="K95" i="2" s="1"/>
  <c r="J95" i="2"/>
  <c r="I94" i="2"/>
  <c r="K94" i="2" s="1"/>
  <c r="J94" i="2"/>
  <c r="I93" i="2"/>
  <c r="K93" i="2" s="1"/>
  <c r="J93" i="2"/>
  <c r="I92" i="2"/>
  <c r="K92" i="2" s="1"/>
  <c r="J92" i="2"/>
  <c r="I91" i="2"/>
  <c r="K91" i="2" s="1"/>
  <c r="J91" i="2"/>
  <c r="I86" i="2"/>
  <c r="K86" i="2" s="1"/>
  <c r="J86" i="2"/>
  <c r="I85" i="2"/>
  <c r="K85" i="2" s="1"/>
  <c r="J85" i="2"/>
  <c r="I84" i="2"/>
  <c r="K84" i="2" s="1"/>
  <c r="J84" i="2"/>
  <c r="I83" i="2"/>
  <c r="K83" i="2" s="1"/>
  <c r="J83" i="2"/>
  <c r="I82" i="2"/>
  <c r="K82" i="2" s="1"/>
  <c r="J82" i="2"/>
  <c r="I81" i="2"/>
  <c r="K81" i="2" s="1"/>
  <c r="J81" i="2"/>
  <c r="I80" i="2"/>
  <c r="K80" i="2" s="1"/>
  <c r="J80" i="2"/>
  <c r="I79" i="2"/>
  <c r="K79" i="2" s="1"/>
  <c r="J79" i="2"/>
  <c r="I74" i="2"/>
  <c r="K74" i="2" s="1"/>
  <c r="J74" i="2"/>
  <c r="I73" i="2"/>
  <c r="K73" i="2" s="1"/>
  <c r="J73" i="2"/>
  <c r="I72" i="2"/>
  <c r="K72" i="2" s="1"/>
  <c r="J72" i="2"/>
  <c r="I71" i="2"/>
  <c r="K71" i="2" s="1"/>
  <c r="J71" i="2"/>
  <c r="I70" i="2"/>
  <c r="K70" i="2" s="1"/>
  <c r="J70" i="2"/>
  <c r="I69" i="2"/>
  <c r="K69" i="2" s="1"/>
  <c r="J69" i="2"/>
  <c r="I68" i="2"/>
  <c r="K68" i="2" s="1"/>
  <c r="J68" i="2"/>
  <c r="I67" i="2"/>
  <c r="K67" i="2" s="1"/>
  <c r="J67" i="2"/>
  <c r="I62" i="2"/>
  <c r="K62" i="2" s="1"/>
  <c r="J62" i="2"/>
  <c r="I61" i="2"/>
  <c r="K61" i="2" s="1"/>
  <c r="J61" i="2"/>
  <c r="I60" i="2"/>
  <c r="K60" i="2" s="1"/>
  <c r="J60" i="2"/>
  <c r="I59" i="2"/>
  <c r="K59" i="2" s="1"/>
  <c r="J59" i="2"/>
  <c r="I58" i="2"/>
  <c r="K58" i="2" s="1"/>
  <c r="J58" i="2"/>
  <c r="I57" i="2"/>
  <c r="K57" i="2" s="1"/>
  <c r="J57" i="2"/>
  <c r="I56" i="2"/>
  <c r="K56" i="2" s="1"/>
  <c r="J56" i="2"/>
  <c r="I55" i="2"/>
  <c r="K55" i="2" s="1"/>
  <c r="J55" i="2"/>
  <c r="I50" i="2"/>
  <c r="K50" i="2" s="1"/>
  <c r="J50" i="2"/>
  <c r="I49" i="2"/>
  <c r="K49" i="2" s="1"/>
  <c r="J49" i="2"/>
  <c r="I48" i="2"/>
  <c r="K48" i="2" s="1"/>
  <c r="J48" i="2"/>
  <c r="I47" i="2"/>
  <c r="K47" i="2" s="1"/>
  <c r="J47" i="2"/>
  <c r="I46" i="2"/>
  <c r="K46" i="2" s="1"/>
  <c r="J46" i="2"/>
  <c r="I45" i="2"/>
  <c r="K45" i="2" s="1"/>
  <c r="J45" i="2"/>
  <c r="I44" i="2"/>
  <c r="K44" i="2" s="1"/>
  <c r="J44" i="2"/>
  <c r="I43" i="2"/>
  <c r="K43" i="2" s="1"/>
  <c r="J43" i="2"/>
  <c r="I38" i="2"/>
  <c r="K38" i="2" s="1"/>
  <c r="J38" i="2"/>
  <c r="I37" i="2"/>
  <c r="K37" i="2" s="1"/>
  <c r="J37" i="2"/>
  <c r="I36" i="2"/>
  <c r="K36" i="2" s="1"/>
  <c r="J36" i="2"/>
  <c r="I35" i="2"/>
  <c r="K35" i="2" s="1"/>
  <c r="J35" i="2"/>
  <c r="I34" i="2"/>
  <c r="K34" i="2" s="1"/>
  <c r="J34" i="2"/>
  <c r="I33" i="2"/>
  <c r="K33" i="2" s="1"/>
  <c r="J33" i="2"/>
  <c r="I32" i="2"/>
  <c r="K32" i="2" s="1"/>
  <c r="J32" i="2"/>
  <c r="I31" i="2"/>
  <c r="K31" i="2" s="1"/>
  <c r="J31" i="2"/>
  <c r="I26" i="2"/>
  <c r="K26" i="2" s="1"/>
  <c r="J26" i="2"/>
  <c r="I25" i="2"/>
  <c r="K25" i="2" s="1"/>
  <c r="J25" i="2"/>
  <c r="I24" i="2"/>
  <c r="K24" i="2" s="1"/>
  <c r="J24" i="2"/>
  <c r="I23" i="2"/>
  <c r="K23" i="2" s="1"/>
  <c r="J23" i="2"/>
  <c r="I22" i="2"/>
  <c r="K22" i="2" s="1"/>
  <c r="J22" i="2"/>
  <c r="I21" i="2"/>
  <c r="K21" i="2" s="1"/>
  <c r="J21" i="2"/>
  <c r="I20" i="2"/>
  <c r="K20" i="2" s="1"/>
  <c r="J20" i="2"/>
  <c r="I19" i="2"/>
  <c r="K19" i="2" s="1"/>
  <c r="J19" i="2"/>
  <c r="I14" i="2"/>
  <c r="K14" i="2" s="1"/>
  <c r="J14" i="2"/>
  <c r="I13" i="2"/>
  <c r="K13" i="2" s="1"/>
  <c r="J13" i="2"/>
  <c r="I12" i="2"/>
  <c r="K12" i="2" s="1"/>
  <c r="J12" i="2"/>
  <c r="I11" i="2"/>
  <c r="K11" i="2" s="1"/>
  <c r="J11" i="2"/>
  <c r="I10" i="2"/>
  <c r="K10" i="2" s="1"/>
  <c r="J10" i="2"/>
  <c r="I9" i="2"/>
  <c r="K9" i="2" s="1"/>
  <c r="J9" i="2"/>
  <c r="I8" i="2"/>
  <c r="K8" i="2" s="1"/>
  <c r="J8" i="2"/>
  <c r="I7" i="2"/>
  <c r="K7" i="2" s="1"/>
  <c r="J7" i="2"/>
  <c r="H126" i="2"/>
  <c r="H114" i="2"/>
  <c r="H102" i="2"/>
  <c r="H90" i="2"/>
  <c r="H78" i="2"/>
  <c r="H66" i="2"/>
  <c r="H54" i="2"/>
  <c r="H42" i="2"/>
  <c r="H30" i="2"/>
  <c r="H18" i="2"/>
  <c r="G6" i="2"/>
  <c r="H6" i="2" s="1"/>
  <c r="H105" i="1"/>
  <c r="I105" i="1" s="1"/>
  <c r="K105" i="1" s="1"/>
  <c r="J105" i="1"/>
  <c r="H41" i="1"/>
  <c r="I41" i="1" s="1"/>
  <c r="K41" i="1" s="1"/>
  <c r="J41" i="1"/>
  <c r="H106" i="1"/>
  <c r="I106" i="1" s="1"/>
  <c r="K106" i="1" s="1"/>
  <c r="J106" i="1"/>
  <c r="H103" i="1"/>
  <c r="I103" i="1" s="1"/>
  <c r="K103" i="1" s="1"/>
  <c r="J103" i="1"/>
  <c r="H102" i="1"/>
  <c r="I102" i="1" s="1"/>
  <c r="K102" i="1" s="1"/>
  <c r="J102" i="1"/>
  <c r="H104" i="1"/>
  <c r="I104" i="1" s="1"/>
  <c r="K104" i="1" s="1"/>
  <c r="J104" i="1"/>
  <c r="H133" i="1"/>
  <c r="I133" i="1" s="1"/>
  <c r="K133" i="1" s="1"/>
  <c r="J133" i="1"/>
  <c r="H132" i="1"/>
  <c r="I132" i="1" s="1"/>
  <c r="K132" i="1" s="1"/>
  <c r="J132" i="1"/>
  <c r="H131" i="1"/>
  <c r="I131" i="1" s="1"/>
  <c r="K131" i="1" s="1"/>
  <c r="J131" i="1"/>
  <c r="H130" i="1"/>
  <c r="I130" i="1" s="1"/>
  <c r="K130" i="1" s="1"/>
  <c r="J130" i="1"/>
  <c r="H129" i="1"/>
  <c r="I129" i="1" s="1"/>
  <c r="K129" i="1" s="1"/>
  <c r="J129" i="1"/>
  <c r="H128" i="1"/>
  <c r="I128" i="1" s="1"/>
  <c r="K128" i="1" s="1"/>
  <c r="J128" i="1"/>
  <c r="H127" i="1"/>
  <c r="I127" i="1" s="1"/>
  <c r="K127" i="1" s="1"/>
  <c r="J127" i="1"/>
  <c r="H126" i="1"/>
  <c r="I126" i="1" s="1"/>
  <c r="K126" i="1" s="1"/>
  <c r="J126" i="1"/>
  <c r="H121" i="1"/>
  <c r="I121" i="1" s="1"/>
  <c r="K121" i="1" s="1"/>
  <c r="J121" i="1"/>
  <c r="H119" i="1"/>
  <c r="I119" i="1" s="1"/>
  <c r="K119" i="1" s="1"/>
  <c r="J119" i="1"/>
  <c r="H116" i="1"/>
  <c r="I116" i="1" s="1"/>
  <c r="K116" i="1" s="1"/>
  <c r="J116" i="1"/>
  <c r="H115" i="1"/>
  <c r="I115" i="1" s="1"/>
  <c r="K115" i="1" s="1"/>
  <c r="J115" i="1"/>
  <c r="H120" i="1"/>
  <c r="I120" i="1" s="1"/>
  <c r="K120" i="1" s="1"/>
  <c r="J120" i="1"/>
  <c r="H118" i="1"/>
  <c r="I118" i="1" s="1"/>
  <c r="K118" i="1" s="1"/>
  <c r="J118" i="1"/>
  <c r="H117" i="1"/>
  <c r="I117" i="1" s="1"/>
  <c r="K117" i="1" s="1"/>
  <c r="J117" i="1"/>
  <c r="H114" i="1"/>
  <c r="I114" i="1" s="1"/>
  <c r="K114" i="1" s="1"/>
  <c r="J114" i="1"/>
  <c r="H108" i="1"/>
  <c r="I108" i="1" s="1"/>
  <c r="K108" i="1" s="1"/>
  <c r="J108" i="1"/>
  <c r="H107" i="1"/>
  <c r="I107" i="1" s="1"/>
  <c r="K107" i="1" s="1"/>
  <c r="J107" i="1"/>
  <c r="H109" i="1"/>
  <c r="I109" i="1" s="1"/>
  <c r="K109" i="1" s="1"/>
  <c r="J109" i="1"/>
  <c r="H97" i="1"/>
  <c r="I97" i="1" s="1"/>
  <c r="K97" i="1" s="1"/>
  <c r="J97" i="1"/>
  <c r="H93" i="1"/>
  <c r="I93" i="1" s="1"/>
  <c r="K93" i="1" s="1"/>
  <c r="J93" i="1"/>
  <c r="H96" i="1"/>
  <c r="I96" i="1" s="1"/>
  <c r="K96" i="1" s="1"/>
  <c r="J96" i="1"/>
  <c r="H92" i="1"/>
  <c r="I92" i="1" s="1"/>
  <c r="K92" i="1" s="1"/>
  <c r="J92" i="1"/>
  <c r="H95" i="1"/>
  <c r="I95" i="1" s="1"/>
  <c r="K95" i="1" s="1"/>
  <c r="J95" i="1"/>
  <c r="H94" i="1"/>
  <c r="I94" i="1" s="1"/>
  <c r="K94" i="1" s="1"/>
  <c r="J94" i="1"/>
  <c r="H91" i="1"/>
  <c r="I91" i="1" s="1"/>
  <c r="K91" i="1" s="1"/>
  <c r="J91" i="1"/>
  <c r="H85" i="1"/>
  <c r="I85" i="1" s="1"/>
  <c r="K85" i="1" s="1"/>
  <c r="J85" i="1"/>
  <c r="H83" i="1"/>
  <c r="I83" i="1" s="1"/>
  <c r="K83" i="1" s="1"/>
  <c r="J83" i="1"/>
  <c r="H82" i="1"/>
  <c r="I82" i="1" s="1"/>
  <c r="K82" i="1" s="1"/>
  <c r="J82" i="1"/>
  <c r="H81" i="1"/>
  <c r="I81" i="1" s="1"/>
  <c r="K81" i="1" s="1"/>
  <c r="J81" i="1"/>
  <c r="H80" i="1"/>
  <c r="I80" i="1" s="1"/>
  <c r="K80" i="1" s="1"/>
  <c r="J80" i="1"/>
  <c r="H79" i="1"/>
  <c r="I79" i="1" s="1"/>
  <c r="K79" i="1" s="1"/>
  <c r="J79" i="1"/>
  <c r="H78" i="1"/>
  <c r="I78" i="1" s="1"/>
  <c r="K78" i="1" s="1"/>
  <c r="J78" i="1"/>
  <c r="H72" i="1"/>
  <c r="I72" i="1" s="1"/>
  <c r="K72" i="1" s="1"/>
  <c r="J72" i="1"/>
  <c r="H73" i="1"/>
  <c r="I73" i="1" s="1"/>
  <c r="K73" i="1" s="1"/>
  <c r="J73" i="1"/>
  <c r="H71" i="1"/>
  <c r="I71" i="1" s="1"/>
  <c r="K71" i="1" s="1"/>
  <c r="J71" i="1"/>
  <c r="H70" i="1"/>
  <c r="I70" i="1" s="1"/>
  <c r="K70" i="1" s="1"/>
  <c r="J70" i="1"/>
  <c r="H69" i="1"/>
  <c r="I69" i="1" s="1"/>
  <c r="K69" i="1" s="1"/>
  <c r="J69" i="1"/>
  <c r="H68" i="1"/>
  <c r="I68" i="1" s="1"/>
  <c r="K68" i="1" s="1"/>
  <c r="J68" i="1"/>
  <c r="H67" i="1"/>
  <c r="I67" i="1" s="1"/>
  <c r="K67" i="1" s="1"/>
  <c r="J67" i="1"/>
  <c r="H66" i="1"/>
  <c r="I66" i="1" s="1"/>
  <c r="K66" i="1" s="1"/>
  <c r="J66" i="1"/>
  <c r="H61" i="1"/>
  <c r="I61" i="1" s="1"/>
  <c r="K61" i="1" s="1"/>
  <c r="J61" i="1"/>
  <c r="H60" i="1"/>
  <c r="I60" i="1" s="1"/>
  <c r="K60" i="1" s="1"/>
  <c r="J60" i="1"/>
  <c r="H59" i="1"/>
  <c r="I59" i="1" s="1"/>
  <c r="K59" i="1" s="1"/>
  <c r="J59" i="1"/>
  <c r="H58" i="1"/>
  <c r="I58" i="1" s="1"/>
  <c r="K58" i="1" s="1"/>
  <c r="J58" i="1"/>
  <c r="H57" i="1"/>
  <c r="I57" i="1" s="1"/>
  <c r="K57" i="1" s="1"/>
  <c r="J57" i="1"/>
  <c r="H56" i="1"/>
  <c r="I56" i="1" s="1"/>
  <c r="K56" i="1" s="1"/>
  <c r="J56" i="1"/>
  <c r="H53" i="1"/>
  <c r="I53" i="1" s="1"/>
  <c r="K53" i="1" s="1"/>
  <c r="J53" i="1"/>
  <c r="H49" i="1"/>
  <c r="I49" i="1" s="1"/>
  <c r="K49" i="1" s="1"/>
  <c r="J49" i="1"/>
  <c r="H48" i="1"/>
  <c r="I48" i="1" s="1"/>
  <c r="K48" i="1" s="1"/>
  <c r="J48" i="1"/>
  <c r="H47" i="1"/>
  <c r="I47" i="1" s="1"/>
  <c r="K47" i="1" s="1"/>
  <c r="J47" i="1"/>
  <c r="H46" i="1"/>
  <c r="I46" i="1" s="1"/>
  <c r="K46" i="1" s="1"/>
  <c r="J46" i="1"/>
  <c r="H45" i="1"/>
  <c r="I45" i="1" s="1"/>
  <c r="K45" i="1" s="1"/>
  <c r="J45" i="1"/>
  <c r="H44" i="1"/>
  <c r="I44" i="1" s="1"/>
  <c r="K44" i="1" s="1"/>
  <c r="J44" i="1"/>
  <c r="H43" i="1"/>
  <c r="I43" i="1" s="1"/>
  <c r="K43" i="1" s="1"/>
  <c r="J43" i="1"/>
  <c r="H42" i="1"/>
  <c r="I42" i="1" s="1"/>
  <c r="K42" i="1" s="1"/>
  <c r="J42" i="1"/>
  <c r="H37" i="1"/>
  <c r="I37" i="1" s="1"/>
  <c r="K37" i="1" s="1"/>
  <c r="J37" i="1"/>
  <c r="H36" i="1"/>
  <c r="I36" i="1" s="1"/>
  <c r="K36" i="1" s="1"/>
  <c r="J36" i="1"/>
  <c r="H35" i="1"/>
  <c r="I35" i="1" s="1"/>
  <c r="K35" i="1" s="1"/>
  <c r="J35" i="1"/>
  <c r="H34" i="1"/>
  <c r="I34" i="1" s="1"/>
  <c r="K34" i="1" s="1"/>
  <c r="J34" i="1"/>
  <c r="H33" i="1"/>
  <c r="I33" i="1" s="1"/>
  <c r="K33" i="1" s="1"/>
  <c r="J33" i="1"/>
  <c r="H32" i="1"/>
  <c r="I32" i="1" s="1"/>
  <c r="K32" i="1" s="1"/>
  <c r="J32" i="1"/>
  <c r="H31" i="1"/>
  <c r="I31" i="1" s="1"/>
  <c r="K31" i="1" s="1"/>
  <c r="J31" i="1"/>
  <c r="H30" i="1"/>
  <c r="I30" i="1" s="1"/>
  <c r="K30" i="1" s="1"/>
  <c r="J30" i="1"/>
  <c r="H29" i="1"/>
  <c r="I29" i="1" s="1"/>
  <c r="K29" i="1" s="1"/>
  <c r="J29" i="1"/>
  <c r="H20" i="1"/>
  <c r="I20" i="1" s="1"/>
  <c r="K20" i="1" s="1"/>
  <c r="J20" i="1"/>
  <c r="H24" i="1"/>
  <c r="I24" i="1" s="1"/>
  <c r="K24" i="1" s="1"/>
  <c r="J24" i="1"/>
  <c r="H22" i="1"/>
  <c r="I22" i="1" s="1"/>
  <c r="K22" i="1" s="1"/>
  <c r="J22" i="1"/>
  <c r="H25" i="1"/>
  <c r="I25" i="1" s="1"/>
  <c r="K25" i="1" s="1"/>
  <c r="J25" i="1"/>
  <c r="H23" i="1"/>
  <c r="I23" i="1" s="1"/>
  <c r="K23" i="1" s="1"/>
  <c r="J23" i="1"/>
  <c r="H21" i="1"/>
  <c r="I21" i="1" s="1"/>
  <c r="K21" i="1" s="1"/>
  <c r="J21" i="1"/>
  <c r="H19" i="1"/>
  <c r="I19" i="1" s="1"/>
  <c r="K19" i="1" s="1"/>
  <c r="J19" i="1"/>
  <c r="H101" i="1"/>
  <c r="I101" i="1" s="1"/>
  <c r="K101" i="1" s="1"/>
  <c r="J101" i="1"/>
  <c r="H89" i="1"/>
  <c r="I89" i="1" s="1"/>
  <c r="K89" i="1" s="1"/>
  <c r="J89" i="1"/>
  <c r="H65" i="1"/>
  <c r="I65" i="1" s="1"/>
  <c r="K65" i="1" s="1"/>
  <c r="J65" i="1"/>
  <c r="H125" i="1"/>
  <c r="I125" i="1" s="1"/>
  <c r="K125" i="1" s="1"/>
  <c r="J125" i="1"/>
  <c r="H113" i="1"/>
  <c r="I113" i="1" s="1"/>
  <c r="K113" i="1" s="1"/>
  <c r="J113" i="1"/>
  <c r="G26" i="1"/>
  <c r="J2" i="1"/>
  <c r="H7" i="1"/>
  <c r="I7" i="1" s="1"/>
  <c r="K7" i="1" s="1"/>
  <c r="J7" i="1"/>
  <c r="H8" i="1"/>
  <c r="I8" i="1" s="1"/>
  <c r="K8" i="1" s="1"/>
  <c r="J8" i="1"/>
  <c r="H10" i="1"/>
  <c r="I10" i="1" s="1"/>
  <c r="K10" i="1" s="1"/>
  <c r="J10" i="1"/>
  <c r="H12" i="1"/>
  <c r="I12" i="1" s="1"/>
  <c r="K12" i="1" s="1"/>
  <c r="J12" i="1"/>
  <c r="H13" i="1"/>
  <c r="I13" i="1" s="1"/>
  <c r="K13" i="1" s="1"/>
  <c r="J13" i="1"/>
  <c r="H6" i="1"/>
  <c r="I6" i="1" s="1"/>
  <c r="K6" i="1" s="1"/>
  <c r="J6" i="1"/>
  <c r="H9" i="1"/>
  <c r="I9" i="1" s="1"/>
  <c r="K9" i="1" s="1"/>
  <c r="J9" i="1"/>
  <c r="H11" i="1"/>
  <c r="I11" i="1" s="1"/>
  <c r="K11" i="1" s="1"/>
  <c r="J11" i="1"/>
  <c r="H5" i="1"/>
  <c r="H17" i="1"/>
  <c r="I17" i="1" s="1"/>
  <c r="K17" i="1" s="1"/>
  <c r="H14" i="1"/>
  <c r="I5" i="1"/>
  <c r="K5" i="1" s="1"/>
  <c r="I126" i="2" l="1"/>
  <c r="K126" i="2" s="1"/>
  <c r="J126" i="2"/>
  <c r="I114" i="2"/>
  <c r="K114" i="2" s="1"/>
  <c r="J114" i="2"/>
  <c r="I102" i="2"/>
  <c r="K102" i="2" s="1"/>
  <c r="J102" i="2"/>
  <c r="I90" i="2"/>
  <c r="K90" i="2" s="1"/>
  <c r="J90" i="2"/>
  <c r="I78" i="2"/>
  <c r="K78" i="2" s="1"/>
  <c r="J78" i="2"/>
  <c r="I66" i="2"/>
  <c r="K66" i="2" s="1"/>
  <c r="J66" i="2"/>
  <c r="I54" i="2"/>
  <c r="K54" i="2" s="1"/>
  <c r="J54" i="2"/>
  <c r="I42" i="2"/>
  <c r="K42" i="2" s="1"/>
  <c r="J42" i="2"/>
  <c r="I30" i="2"/>
  <c r="K30" i="2" s="1"/>
  <c r="J30" i="2"/>
  <c r="I18" i="2"/>
  <c r="J18" i="2"/>
  <c r="I6" i="2"/>
  <c r="J6" i="2"/>
  <c r="G15" i="2"/>
  <c r="H15" i="2" l="1"/>
</calcChain>
</file>

<file path=xl/sharedStrings.xml><?xml version="1.0" encoding="utf-8"?>
<sst xmlns="http://schemas.openxmlformats.org/spreadsheetml/2006/main" count="993" uniqueCount="54">
  <si>
    <t>DEPARTAMENTO</t>
  </si>
  <si>
    <t>PARALELOS</t>
  </si>
  <si>
    <t>EGRESADOS</t>
  </si>
  <si>
    <t>TOTAL</t>
  </si>
  <si>
    <t>BENI</t>
  </si>
  <si>
    <t>CHUQUISACA</t>
  </si>
  <si>
    <t>COCHABAMBA</t>
  </si>
  <si>
    <t>LA PAZ</t>
  </si>
  <si>
    <t>ORURO</t>
  </si>
  <si>
    <t>PANDO</t>
  </si>
  <si>
    <t>POTOSI</t>
  </si>
  <si>
    <t>SANTA CRUZ</t>
  </si>
  <si>
    <t>TARIJA</t>
  </si>
  <si>
    <t>DOC NEC</t>
  </si>
  <si>
    <t>CIENCIAS NATURALES: BIOLOGÍA - GEOGRAFÍA 96 HRS</t>
  </si>
  <si>
    <t>CIENCIAS NATURALES: FÍSICA - QUÍMICA 64 HRS</t>
  </si>
  <si>
    <t>COMUNICACIÓN Y LENGUAJES: LENGUA CASTELLANA 112 HRS</t>
  </si>
  <si>
    <t>COMUNICACIÓN Y LENGUAJES: LENGUA EXTRANJERA (INGLÉS) 48 HRS</t>
  </si>
  <si>
    <t>CIENCIAS SOCIALES 128 HRS</t>
  </si>
  <si>
    <t>EDUCACIÓN FÍSICA Y DEPORTES 48 HRS</t>
  </si>
  <si>
    <t>EDUCACIÓN MUSICAL 48 HRS</t>
  </si>
  <si>
    <t>ARTES PLÁSTICAS Y VISUALES 48 HRS</t>
  </si>
  <si>
    <t>COSMOVISIONES, FILOSOFÍAS Y SICOLOGÍA 48 HRS</t>
  </si>
  <si>
    <t>VALORES, ESPIRITUALIDAD Y RELIGIONES 48 HRS</t>
  </si>
  <si>
    <t>PLANILLA</t>
  </si>
  <si>
    <t>EST UE</t>
  </si>
  <si>
    <t>PLANILLAS</t>
  </si>
  <si>
    <t>REQUERIMIENTO</t>
  </si>
  <si>
    <t>ERROR 20%</t>
  </si>
  <si>
    <t>ATENDER 10%</t>
  </si>
  <si>
    <t>CARGO</t>
  </si>
  <si>
    <t>FORMACION</t>
  </si>
  <si>
    <t>ESPECIALIDAD</t>
  </si>
  <si>
    <t>DOCENTE</t>
  </si>
  <si>
    <t>TRABAJANDO CON HRS</t>
  </si>
  <si>
    <t>DOCENTE CARGA HORARIA</t>
  </si>
  <si>
    <t>MATEMÁTICA 128 HRS</t>
  </si>
  <si>
    <t>DOCENTE CON MARGEN DE ERROR</t>
  </si>
  <si>
    <t>DOCENTE REAL</t>
  </si>
  <si>
    <t>SECUNDARIA TOTAL EN PLANILLA</t>
  </si>
  <si>
    <t>DOCENTES NECESITADOS</t>
  </si>
  <si>
    <t/>
  </si>
  <si>
    <t>INICIAL</t>
  </si>
  <si>
    <t xml:space="preserve">BENI                                              </t>
  </si>
  <si>
    <t xml:space="preserve">CHUQUISACA                                        </t>
  </si>
  <si>
    <t xml:space="preserve">COCHABAMBA                                        </t>
  </si>
  <si>
    <t xml:space="preserve">LA PAZ                                            </t>
  </si>
  <si>
    <t xml:space="preserve">ORURO                                             </t>
  </si>
  <si>
    <t xml:space="preserve">PANDO                                             </t>
  </si>
  <si>
    <t xml:space="preserve">POTOSI                                            </t>
  </si>
  <si>
    <t xml:space="preserve">SANTA CRUZ                                        </t>
  </si>
  <si>
    <t xml:space="preserve">TARIJA                                            </t>
  </si>
  <si>
    <t>PRIMARIA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</si>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</sst>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1" fillId="2" borderId="0" xfId="0" applyFont="1" applyFill="1"/>
    <xf numFmtId="1" fontId="0" fillId="2" borderId="0" xfId="0" applyNumberFormat="1" applyFill="1"/>
    <xf numFmtId="0" fontId="1" fillId="3" borderId="0" xfId="0" applyFont="1" applyFill="1"/>
    <xf numFmtId="1" fontId="0" fillId="3" borderId="0" xfId="0" applyNumberFormat="1" applyFill="1"/>
    <xf numFmtId="0" fontId="0" fillId="3" borderId="0" xfId="0" applyFill="1"/>
    <xf numFmtId="164" fontId="1" fillId="0" borderId="0" xfId="0" applyNumberFormat="1" applyFont="1"/>
    <xf numFmtId="164" fontId="0" fillId="0" borderId="0" xfId="0" applyNumberFormat="1"/>
    <xf numFmtId="1" fontId="1" fillId="4" borderId="0" xfId="0" applyNumberFormat="1" applyFont="1" applyFill="1"/>
    <xf numFmtId="1" fontId="0" fillId="4" borderId="0" xfId="0" applyNumberFormat="1" applyFill="1"/>
    <xf numFmtId="0" fontId="3" fillId="0" borderId="0" xfId="0" applyFont="1"/>
    <xf numFmtId="164" fontId="5" fillId="5" borderId="0" xfId="0" applyNumberFormat="1" applyFont="1" applyFill="1"/>
    <xf numFmtId="164" fontId="5" fillId="0" borderId="0" xfId="0" applyNumberFormat="1" applyFont="1"/>
    <xf numFmtId="164" fontId="4" fillId="0" borderId="0" xfId="0" applyNumberFormat="1" applyFont="1"/>
    <xf numFmtId="164" fontId="2" fillId="0" borderId="0" xfId="0" applyNumberFormat="1" applyFont="1"/>
    <xf numFmtId="164" fontId="3" fillId="5" borderId="0" xfId="0" applyNumberFormat="1" applyFont="1" applyFill="1"/>
    <xf numFmtId="164" fontId="3" fillId="2" borderId="0" xfId="0" applyNumberFormat="1" applyFont="1" applyFill="1"/>
    <xf numFmtId="164" fontId="5" fillId="2" borderId="0" xfId="0" applyNumberFormat="1" applyFont="1" applyFill="1"/>
    <xf numFmtId="164" fontId="3" fillId="6" borderId="0" xfId="0" applyNumberFormat="1" applyFont="1" applyFill="1"/>
    <xf numFmtId="164" fontId="5" fillId="6" borderId="0" xfId="0" applyNumberFormat="1" applyFont="1" applyFill="1"/>
    <xf numFmtId="0" fontId="1" fillId="0" borderId="0" xfId="0" applyFont="1" applyAlignment="1">
      <alignment horizontal="right"/>
    </xf>
    <xf numFmtId="1" fontId="1" fillId="4" borderId="0" xfId="0" applyNumberFormat="1" applyFont="1" applyFill="1" applyAlignment="1">
      <alignment horizontal="center" wrapText="1"/>
    </xf>
    <xf numFmtId="1" fontId="3" fillId="0" borderId="0" xfId="0" applyNumberFormat="1" applyFont="1" applyAlignment="1">
      <alignment horizontal="left"/>
    </xf>
    <xf numFmtId="164" fontId="3" fillId="5" borderId="0" xfId="0" applyNumberFormat="1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3" fillId="6" borderId="0" xfId="0" applyNumberFormat="1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B0E1-1A1F-45B5-805D-E8A7AA8419DF}">
  <dimension ref="A1:Q134"/>
  <sheetViews>
    <sheetView topLeftCell="A105" workbookViewId="0">
      <selection activeCell="A3" sqref="A3:K134"/>
    </sheetView>
  </sheetViews>
  <sheetFormatPr baseColWidth="10" defaultRowHeight="15" x14ac:dyDescent="0.25"/>
  <cols>
    <col min="1" max="1" width="15.85546875" bestFit="1" customWidth="1"/>
    <col min="2" max="2" width="13.85546875" customWidth="1"/>
    <col min="3" max="3" width="13.42578125" customWidth="1"/>
    <col min="6" max="6" width="12.28515625" bestFit="1" customWidth="1"/>
    <col min="7" max="7" width="10" customWidth="1"/>
    <col min="8" max="8" width="11.42578125" bestFit="1" customWidth="1"/>
    <col min="9" max="9" width="13.5703125" bestFit="1" customWidth="1"/>
    <col min="10" max="10" width="15" bestFit="1" customWidth="1"/>
    <col min="11" max="11" width="15.42578125" style="3" bestFit="1" customWidth="1"/>
    <col min="13" max="13" width="22.140625" style="10" bestFit="1" customWidth="1"/>
    <col min="14" max="15" width="17" style="10" customWidth="1"/>
    <col min="16" max="16" width="14.140625" style="10" bestFit="1" customWidth="1"/>
    <col min="17" max="17" width="12.5703125" customWidth="1"/>
  </cols>
  <sheetData>
    <row r="1" spans="1:17" ht="18.75" x14ac:dyDescent="0.3">
      <c r="B1" s="33" t="s">
        <v>1</v>
      </c>
      <c r="C1" s="33"/>
      <c r="D1" s="13">
        <v>35</v>
      </c>
      <c r="G1" s="33" t="s">
        <v>39</v>
      </c>
      <c r="H1" s="33"/>
      <c r="I1" s="33"/>
      <c r="J1" s="25">
        <f>SUM(E14,E26,E38,E50,E62,E74,E86,E98,E110,E122,E134)</f>
        <v>73601</v>
      </c>
      <c r="M1" s="32" t="s">
        <v>4</v>
      </c>
      <c r="N1" s="32"/>
      <c r="O1" s="32"/>
      <c r="P1" s="32"/>
      <c r="Q1" s="32"/>
    </row>
    <row r="2" spans="1:17" ht="18.75" x14ac:dyDescent="0.3">
      <c r="B2" s="33" t="s">
        <v>35</v>
      </c>
      <c r="C2" s="33"/>
      <c r="D2" s="13">
        <v>96</v>
      </c>
      <c r="G2" s="34" t="s">
        <v>40</v>
      </c>
      <c r="H2" s="34"/>
      <c r="I2" s="34"/>
      <c r="J2" s="25">
        <f>SUM(D14,D26,D38,D50,D62,D74,D86,D98,D110,D122,D134)</f>
        <v>262621.34285714291</v>
      </c>
      <c r="M2" s="9" t="s">
        <v>34</v>
      </c>
      <c r="N2" s="9" t="s">
        <v>26</v>
      </c>
      <c r="O2" s="9" t="s">
        <v>27</v>
      </c>
      <c r="Q2" s="9" t="s">
        <v>33</v>
      </c>
    </row>
    <row r="3" spans="1:17" ht="24" x14ac:dyDescent="0.4">
      <c r="A3" s="35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5"/>
      <c r="M3" s="18" t="s">
        <v>30</v>
      </c>
      <c r="N3" s="14">
        <v>21864</v>
      </c>
      <c r="O3" s="14">
        <f>C5*96</f>
        <v>152774.40000000002</v>
      </c>
      <c r="P3" s="14">
        <f>O3-N3</f>
        <v>130910.40000000002</v>
      </c>
      <c r="Q3" s="14">
        <f>P3/120</f>
        <v>1090.9200000000003</v>
      </c>
    </row>
    <row r="4" spans="1:17" ht="47.25" x14ac:dyDescent="0.4">
      <c r="A4" s="1" t="s">
        <v>0</v>
      </c>
      <c r="B4" s="1" t="s">
        <v>25</v>
      </c>
      <c r="C4" s="2" t="s">
        <v>1</v>
      </c>
      <c r="D4" s="4" t="s">
        <v>13</v>
      </c>
      <c r="E4" s="6" t="s">
        <v>24</v>
      </c>
      <c r="F4" s="6" t="s">
        <v>2</v>
      </c>
      <c r="G4" s="1" t="s">
        <v>3</v>
      </c>
      <c r="H4" s="1" t="s">
        <v>28</v>
      </c>
      <c r="I4" s="1" t="s">
        <v>29</v>
      </c>
      <c r="J4" s="11" t="s">
        <v>38</v>
      </c>
      <c r="K4" s="24" t="s">
        <v>37</v>
      </c>
      <c r="M4" s="19" t="s">
        <v>31</v>
      </c>
      <c r="N4" s="20">
        <v>26264</v>
      </c>
      <c r="O4" s="20">
        <f>C5*96</f>
        <v>152774.40000000002</v>
      </c>
      <c r="P4" s="20">
        <f>O4-N4</f>
        <v>126510.40000000002</v>
      </c>
      <c r="Q4" s="20">
        <f t="shared" ref="Q4:Q5" si="0">P4/120</f>
        <v>1054.2533333333336</v>
      </c>
    </row>
    <row r="5" spans="1:17" ht="24" x14ac:dyDescent="0.4">
      <c r="A5" t="s">
        <v>4</v>
      </c>
      <c r="B5">
        <v>55699</v>
      </c>
      <c r="C5" s="3">
        <f t="shared" ref="C5:C13" si="1">B5/$D$1</f>
        <v>1591.4</v>
      </c>
      <c r="D5" s="5">
        <f>C5*96/$D$2</f>
        <v>1591.4000000000003</v>
      </c>
      <c r="E5" s="7">
        <v>238</v>
      </c>
      <c r="F5" s="8">
        <v>0</v>
      </c>
      <c r="G5" s="3">
        <f>(F5+E5)-D5</f>
        <v>-1353.4000000000003</v>
      </c>
      <c r="H5" s="3">
        <f>G5*0.8</f>
        <v>-1082.7200000000003</v>
      </c>
      <c r="I5" s="3">
        <f>H5*0.1</f>
        <v>-108.27200000000003</v>
      </c>
      <c r="J5" s="3">
        <f>IF(G5 &gt; 0,"",G5/30)</f>
        <v>-45.113333333333344</v>
      </c>
      <c r="K5" s="12">
        <f>IF(I5 &gt; 0,"",I5/30)</f>
        <v>-3.609066666666668</v>
      </c>
      <c r="M5" s="21" t="s">
        <v>32</v>
      </c>
      <c r="N5" s="22">
        <v>23328</v>
      </c>
      <c r="O5" s="22">
        <f>C5*96</f>
        <v>152774.40000000002</v>
      </c>
      <c r="P5" s="22">
        <f>O5-N5</f>
        <v>129446.40000000002</v>
      </c>
      <c r="Q5" s="22">
        <f t="shared" si="0"/>
        <v>1078.7200000000003</v>
      </c>
    </row>
    <row r="6" spans="1:17" ht="24" x14ac:dyDescent="0.4">
      <c r="A6" t="s">
        <v>5</v>
      </c>
      <c r="B6">
        <v>51836</v>
      </c>
      <c r="C6" s="3">
        <f t="shared" si="1"/>
        <v>1481.0285714285715</v>
      </c>
      <c r="D6" s="5">
        <f t="shared" ref="D6:D12" si="2">C6*96/$D$2</f>
        <v>1481.0285714285717</v>
      </c>
      <c r="E6" s="7">
        <v>517</v>
      </c>
      <c r="F6" s="8">
        <v>0</v>
      </c>
      <c r="G6" s="3">
        <f t="shared" ref="G6:G14" si="3">(F6+E6)-D6</f>
        <v>-964.02857142857169</v>
      </c>
      <c r="H6" s="3">
        <f t="shared" ref="H6:H13" si="4">G6*0.8</f>
        <v>-771.22285714285738</v>
      </c>
      <c r="I6" s="3">
        <f t="shared" ref="I6:I13" si="5">H6*0.1</f>
        <v>-77.122285714285738</v>
      </c>
      <c r="J6" s="3">
        <f t="shared" ref="J6:J13" si="6">IF(G6 &gt; 0,"",G6/30)</f>
        <v>-32.134285714285724</v>
      </c>
      <c r="K6" s="12">
        <f>IF(I6 &gt; 0,"",I6/30)</f>
        <v>-2.5707428571428581</v>
      </c>
      <c r="N6" s="15"/>
      <c r="O6" s="16"/>
      <c r="Q6" s="15">
        <f>AVERAGE(Q3:Q5)</f>
        <v>1074.6311111111115</v>
      </c>
    </row>
    <row r="7" spans="1:17" ht="15.75" x14ac:dyDescent="0.25">
      <c r="A7" t="s">
        <v>6</v>
      </c>
      <c r="B7">
        <v>204021</v>
      </c>
      <c r="C7" s="3">
        <f t="shared" si="1"/>
        <v>5829.1714285714288</v>
      </c>
      <c r="D7" s="5">
        <f t="shared" si="2"/>
        <v>5829.1714285714288</v>
      </c>
      <c r="E7" s="7">
        <v>1807</v>
      </c>
      <c r="F7" s="8">
        <v>28</v>
      </c>
      <c r="G7" s="3">
        <f t="shared" si="3"/>
        <v>-3994.1714285714288</v>
      </c>
      <c r="H7" s="3">
        <f t="shared" si="4"/>
        <v>-3195.3371428571431</v>
      </c>
      <c r="I7" s="3">
        <f t="shared" si="5"/>
        <v>-319.53371428571432</v>
      </c>
      <c r="J7" s="3">
        <f t="shared" si="6"/>
        <v>-133.13904761904763</v>
      </c>
      <c r="K7" s="12">
        <f t="shared" ref="K7:K13" si="7">IF(I7 &gt; 0,"",I7/30)</f>
        <v>-10.651123809523812</v>
      </c>
      <c r="Q7" s="17">
        <f>Q6*0.1</f>
        <v>107.46311111111116</v>
      </c>
    </row>
    <row r="8" spans="1:17" x14ac:dyDescent="0.25">
      <c r="A8" t="s">
        <v>7</v>
      </c>
      <c r="B8">
        <v>271621</v>
      </c>
      <c r="C8" s="3">
        <f t="shared" si="1"/>
        <v>7760.6</v>
      </c>
      <c r="D8" s="5">
        <f t="shared" si="2"/>
        <v>7760.6000000000013</v>
      </c>
      <c r="E8" s="7">
        <v>1937</v>
      </c>
      <c r="F8" s="8">
        <v>25</v>
      </c>
      <c r="G8" s="3">
        <f t="shared" si="3"/>
        <v>-5798.6000000000013</v>
      </c>
      <c r="H8" s="3">
        <f t="shared" si="4"/>
        <v>-4638.880000000001</v>
      </c>
      <c r="I8" s="3">
        <f t="shared" si="5"/>
        <v>-463.88800000000015</v>
      </c>
      <c r="J8" s="3">
        <f t="shared" si="6"/>
        <v>-193.28666666666672</v>
      </c>
      <c r="K8" s="12">
        <f t="shared" si="7"/>
        <v>-15.462933333333337</v>
      </c>
    </row>
    <row r="9" spans="1:17" x14ac:dyDescent="0.25">
      <c r="A9" t="s">
        <v>8</v>
      </c>
      <c r="B9">
        <v>57171</v>
      </c>
      <c r="C9" s="3">
        <f t="shared" si="1"/>
        <v>1633.4571428571428</v>
      </c>
      <c r="D9" s="5">
        <f t="shared" si="2"/>
        <v>1633.4571428571428</v>
      </c>
      <c r="E9" s="7">
        <v>483</v>
      </c>
      <c r="F9" s="8">
        <v>0</v>
      </c>
      <c r="G9" s="3">
        <f t="shared" si="3"/>
        <v>-1150.4571428571428</v>
      </c>
      <c r="H9" s="3">
        <f t="shared" si="4"/>
        <v>-920.36571428571426</v>
      </c>
      <c r="I9" s="3">
        <f t="shared" si="5"/>
        <v>-92.036571428571435</v>
      </c>
      <c r="J9" s="3">
        <f t="shared" si="6"/>
        <v>-38.348571428571425</v>
      </c>
      <c r="K9" s="12">
        <f t="shared" si="7"/>
        <v>-3.0678857142857145</v>
      </c>
    </row>
    <row r="10" spans="1:17" x14ac:dyDescent="0.25">
      <c r="A10" t="s">
        <v>9</v>
      </c>
      <c r="B10">
        <v>13856</v>
      </c>
      <c r="C10" s="3">
        <f t="shared" si="1"/>
        <v>395.8857142857143</v>
      </c>
      <c r="D10" s="5">
        <f t="shared" si="2"/>
        <v>395.8857142857143</v>
      </c>
      <c r="E10" s="7">
        <v>102</v>
      </c>
      <c r="F10" s="8">
        <v>19</v>
      </c>
      <c r="G10" s="3">
        <f t="shared" si="3"/>
        <v>-274.8857142857143</v>
      </c>
      <c r="H10" s="3">
        <f t="shared" si="4"/>
        <v>-219.90857142857146</v>
      </c>
      <c r="I10" s="3">
        <f t="shared" si="5"/>
        <v>-21.990857142857148</v>
      </c>
      <c r="J10" s="3">
        <f t="shared" si="6"/>
        <v>-9.1628571428571437</v>
      </c>
      <c r="K10" s="12">
        <f t="shared" si="7"/>
        <v>-0.73302857142857158</v>
      </c>
    </row>
    <row r="11" spans="1:17" x14ac:dyDescent="0.25">
      <c r="A11" t="s">
        <v>10</v>
      </c>
      <c r="B11">
        <v>84657</v>
      </c>
      <c r="C11" s="3">
        <f t="shared" si="1"/>
        <v>2418.7714285714287</v>
      </c>
      <c r="D11" s="5">
        <f t="shared" si="2"/>
        <v>2418.7714285714287</v>
      </c>
      <c r="E11" s="7">
        <v>806</v>
      </c>
      <c r="F11" s="8">
        <v>0</v>
      </c>
      <c r="G11" s="3">
        <f t="shared" si="3"/>
        <v>-1612.7714285714287</v>
      </c>
      <c r="H11" s="3">
        <f t="shared" si="4"/>
        <v>-1290.217142857143</v>
      </c>
      <c r="I11" s="3">
        <f t="shared" si="5"/>
        <v>-129.0217142857143</v>
      </c>
      <c r="J11" s="3">
        <f t="shared" si="6"/>
        <v>-53.759047619047621</v>
      </c>
      <c r="K11" s="12">
        <f t="shared" si="7"/>
        <v>-4.3007238095238103</v>
      </c>
    </row>
    <row r="12" spans="1:17" x14ac:dyDescent="0.25">
      <c r="A12" t="s">
        <v>11</v>
      </c>
      <c r="B12">
        <v>290150</v>
      </c>
      <c r="C12" s="3">
        <f t="shared" si="1"/>
        <v>8290</v>
      </c>
      <c r="D12" s="5">
        <f t="shared" si="2"/>
        <v>8290</v>
      </c>
      <c r="E12" s="7">
        <v>1557</v>
      </c>
      <c r="F12" s="8">
        <v>27</v>
      </c>
      <c r="G12" s="3">
        <f t="shared" si="3"/>
        <v>-6706</v>
      </c>
      <c r="H12" s="3">
        <f t="shared" si="4"/>
        <v>-5364.8</v>
      </c>
      <c r="I12" s="3">
        <f t="shared" si="5"/>
        <v>-536.48</v>
      </c>
      <c r="J12" s="3">
        <f t="shared" si="6"/>
        <v>-223.53333333333333</v>
      </c>
      <c r="K12" s="12">
        <f t="shared" si="7"/>
        <v>-17.882666666666669</v>
      </c>
    </row>
    <row r="13" spans="1:17" x14ac:dyDescent="0.25">
      <c r="A13" t="s">
        <v>12</v>
      </c>
      <c r="B13">
        <v>52371</v>
      </c>
      <c r="C13" s="3">
        <f t="shared" si="1"/>
        <v>1496.3142857142857</v>
      </c>
      <c r="D13" s="5">
        <f>C13*96/$D$2</f>
        <v>1496.3142857142857</v>
      </c>
      <c r="E13" s="7">
        <v>421</v>
      </c>
      <c r="F13" s="8">
        <v>0</v>
      </c>
      <c r="G13" s="3">
        <f t="shared" si="3"/>
        <v>-1075.3142857142857</v>
      </c>
      <c r="H13" s="3">
        <f t="shared" si="4"/>
        <v>-860.25142857142862</v>
      </c>
      <c r="I13" s="3">
        <f t="shared" si="5"/>
        <v>-86.025142857142868</v>
      </c>
      <c r="J13" s="3">
        <f t="shared" si="6"/>
        <v>-35.843809523809526</v>
      </c>
      <c r="K13" s="12">
        <f t="shared" si="7"/>
        <v>-2.8675047619047622</v>
      </c>
    </row>
    <row r="14" spans="1:17" x14ac:dyDescent="0.25">
      <c r="C14" s="3">
        <f>SUM(C5:C13)</f>
        <v>30896.628571428573</v>
      </c>
      <c r="D14" s="3">
        <f>SUM(D5:D13)</f>
        <v>30896.628571428573</v>
      </c>
      <c r="E14" s="3">
        <f>SUM(E5:E13)</f>
        <v>7868</v>
      </c>
      <c r="F14" s="3">
        <f>SUM(F5:F13)</f>
        <v>99</v>
      </c>
      <c r="G14" s="3">
        <f t="shared" si="3"/>
        <v>-22929.628571428573</v>
      </c>
      <c r="H14" s="3">
        <f>SUM(H5:H13)</f>
        <v>-18343.70285714286</v>
      </c>
      <c r="I14" s="3"/>
      <c r="J14" s="3"/>
    </row>
    <row r="15" spans="1:17" ht="15.75" x14ac:dyDescent="0.25">
      <c r="A15" s="35" t="s">
        <v>15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7" ht="45" x14ac:dyDescent="0.25">
      <c r="A16" s="1" t="s">
        <v>0</v>
      </c>
      <c r="B16" s="1" t="s">
        <v>25</v>
      </c>
      <c r="C16" s="2" t="s">
        <v>1</v>
      </c>
      <c r="D16" s="4" t="s">
        <v>13</v>
      </c>
      <c r="E16" s="6" t="s">
        <v>24</v>
      </c>
      <c r="F16" s="6" t="s">
        <v>2</v>
      </c>
      <c r="G16" s="1" t="s">
        <v>3</v>
      </c>
      <c r="H16" s="1" t="s">
        <v>28</v>
      </c>
      <c r="I16" s="1" t="s">
        <v>29</v>
      </c>
      <c r="J16" s="11" t="s">
        <v>38</v>
      </c>
      <c r="K16" s="24" t="s">
        <v>37</v>
      </c>
    </row>
    <row r="17" spans="1:11" x14ac:dyDescent="0.25">
      <c r="A17" t="s">
        <v>4</v>
      </c>
      <c r="B17">
        <v>55699</v>
      </c>
      <c r="C17" s="3">
        <f t="shared" ref="C17:C25" si="8">B17/$D$1</f>
        <v>1591.4</v>
      </c>
      <c r="D17" s="5">
        <f>C17*64/$D$2</f>
        <v>1060.9333333333334</v>
      </c>
      <c r="E17" s="7">
        <v>390</v>
      </c>
      <c r="F17" s="8">
        <v>0</v>
      </c>
      <c r="G17" s="3">
        <f>(F17+E17)-D17</f>
        <v>-670.93333333333339</v>
      </c>
      <c r="H17" s="3">
        <f>G17*0.8</f>
        <v>-536.74666666666678</v>
      </c>
      <c r="I17" s="3">
        <f>H17*0.1</f>
        <v>-53.674666666666681</v>
      </c>
      <c r="J17" s="3">
        <f>IF(G17 &gt; 0,"",G17/30)</f>
        <v>-22.364444444444448</v>
      </c>
      <c r="K17" s="12">
        <f>IF(I17 &gt; 0,"",I17/30)</f>
        <v>-1.7891555555555561</v>
      </c>
    </row>
    <row r="18" spans="1:11" x14ac:dyDescent="0.25">
      <c r="A18" t="s">
        <v>5</v>
      </c>
      <c r="B18">
        <v>51836</v>
      </c>
      <c r="C18" s="3">
        <f t="shared" si="8"/>
        <v>1481.0285714285715</v>
      </c>
      <c r="D18" s="5">
        <f t="shared" ref="D18:D25" si="9">C18*64/$D$2</f>
        <v>987.35238095238094</v>
      </c>
      <c r="E18" s="7">
        <v>753</v>
      </c>
      <c r="F18" s="8">
        <v>3</v>
      </c>
      <c r="G18" s="3">
        <f t="shared" ref="G18:G26" si="10">(F18+E18)-D18</f>
        <v>-231.35238095238094</v>
      </c>
      <c r="H18" s="3">
        <f t="shared" ref="H18:H25" si="11">G18*0.8</f>
        <v>-185.08190476190475</v>
      </c>
      <c r="I18" s="3">
        <f>H18*0.1</f>
        <v>-18.508190476190475</v>
      </c>
      <c r="J18" s="3">
        <f t="shared" ref="J18:J25" si="12">IF(G18 &gt; 0,"",G18/30)</f>
        <v>-7.7117460317460313</v>
      </c>
      <c r="K18" s="12">
        <f>IF(I18 &gt; 0,"",I18/30)</f>
        <v>-0.61693968253968245</v>
      </c>
    </row>
    <row r="19" spans="1:11" x14ac:dyDescent="0.25">
      <c r="A19" t="s">
        <v>6</v>
      </c>
      <c r="B19">
        <v>204021</v>
      </c>
      <c r="C19" s="3">
        <f t="shared" si="8"/>
        <v>5829.1714285714288</v>
      </c>
      <c r="D19" s="5">
        <f t="shared" si="9"/>
        <v>3886.1142857142859</v>
      </c>
      <c r="E19" s="7">
        <v>2141</v>
      </c>
      <c r="F19" s="8">
        <v>57</v>
      </c>
      <c r="G19" s="3">
        <f t="shared" si="10"/>
        <v>-1688.1142857142859</v>
      </c>
      <c r="H19" s="3">
        <f t="shared" si="11"/>
        <v>-1350.4914285714287</v>
      </c>
      <c r="I19" s="3">
        <f t="shared" ref="I19" si="13">H19*0.1</f>
        <v>-135.04914285714287</v>
      </c>
      <c r="J19" s="3">
        <f t="shared" si="12"/>
        <v>-56.270476190476195</v>
      </c>
      <c r="K19" s="12">
        <f t="shared" ref="K19:K25" si="14">IF(I19 &gt; 0,"",I19/30)</f>
        <v>-4.5016380952380954</v>
      </c>
    </row>
    <row r="20" spans="1:11" x14ac:dyDescent="0.25">
      <c r="A20" t="s">
        <v>7</v>
      </c>
      <c r="B20">
        <v>271621</v>
      </c>
      <c r="C20" s="3">
        <f t="shared" si="8"/>
        <v>7760.6</v>
      </c>
      <c r="D20" s="5">
        <f t="shared" si="9"/>
        <v>5173.7333333333336</v>
      </c>
      <c r="E20" s="7">
        <v>3413</v>
      </c>
      <c r="F20" s="8">
        <v>28</v>
      </c>
      <c r="G20" s="3">
        <f t="shared" si="10"/>
        <v>-1732.7333333333336</v>
      </c>
      <c r="H20" s="3">
        <f t="shared" si="11"/>
        <v>-1386.186666666667</v>
      </c>
      <c r="I20" s="3">
        <f t="shared" ref="I20:I25" si="15">H20*0.1</f>
        <v>-138.61866666666671</v>
      </c>
      <c r="J20" s="3">
        <f t="shared" si="12"/>
        <v>-57.757777777777783</v>
      </c>
      <c r="K20" s="12">
        <f t="shared" si="14"/>
        <v>-4.6206222222222237</v>
      </c>
    </row>
    <row r="21" spans="1:11" x14ac:dyDescent="0.25">
      <c r="A21" t="s">
        <v>8</v>
      </c>
      <c r="B21">
        <v>57171</v>
      </c>
      <c r="C21" s="3">
        <f t="shared" si="8"/>
        <v>1633.4571428571428</v>
      </c>
      <c r="D21" s="5">
        <f t="shared" si="9"/>
        <v>1088.9714285714285</v>
      </c>
      <c r="E21" s="7">
        <v>720</v>
      </c>
      <c r="F21" s="8">
        <v>29</v>
      </c>
      <c r="G21" s="3">
        <f t="shared" si="10"/>
        <v>-339.97142857142853</v>
      </c>
      <c r="H21" s="3">
        <f t="shared" si="11"/>
        <v>-271.97714285714284</v>
      </c>
      <c r="I21" s="3">
        <f t="shared" si="15"/>
        <v>-27.197714285714284</v>
      </c>
      <c r="J21" s="3">
        <f t="shared" si="12"/>
        <v>-11.332380952380952</v>
      </c>
      <c r="K21" s="12">
        <f t="shared" si="14"/>
        <v>-0.90659047619047617</v>
      </c>
    </row>
    <row r="22" spans="1:11" x14ac:dyDescent="0.25">
      <c r="A22" t="s">
        <v>9</v>
      </c>
      <c r="B22">
        <v>13856</v>
      </c>
      <c r="C22" s="3">
        <f t="shared" si="8"/>
        <v>395.8857142857143</v>
      </c>
      <c r="D22" s="5">
        <f t="shared" si="9"/>
        <v>263.92380952380955</v>
      </c>
      <c r="E22" s="7">
        <v>255</v>
      </c>
      <c r="F22" s="8">
        <v>0</v>
      </c>
      <c r="G22" s="3">
        <f t="shared" si="10"/>
        <v>-8.9238095238095525</v>
      </c>
      <c r="H22" s="3">
        <f t="shared" si="11"/>
        <v>-7.1390476190476422</v>
      </c>
      <c r="I22" s="3">
        <f t="shared" si="15"/>
        <v>-0.71390476190476426</v>
      </c>
      <c r="J22" s="3">
        <f t="shared" si="12"/>
        <v>-0.29746031746031842</v>
      </c>
      <c r="K22" s="12">
        <f t="shared" si="14"/>
        <v>-2.3796825396825476E-2</v>
      </c>
    </row>
    <row r="23" spans="1:11" x14ac:dyDescent="0.25">
      <c r="A23" t="s">
        <v>10</v>
      </c>
      <c r="B23">
        <v>84657</v>
      </c>
      <c r="C23" s="3">
        <f t="shared" si="8"/>
        <v>2418.7714285714287</v>
      </c>
      <c r="D23" s="5">
        <f t="shared" si="9"/>
        <v>1612.5142857142857</v>
      </c>
      <c r="E23" s="7">
        <v>1229</v>
      </c>
      <c r="F23" s="8">
        <v>24</v>
      </c>
      <c r="G23" s="3">
        <f t="shared" si="10"/>
        <v>-359.51428571428573</v>
      </c>
      <c r="H23" s="3">
        <f t="shared" si="11"/>
        <v>-287.61142857142858</v>
      </c>
      <c r="I23" s="3">
        <f t="shared" si="15"/>
        <v>-28.761142857142858</v>
      </c>
      <c r="J23" s="3">
        <f t="shared" si="12"/>
        <v>-11.983809523809525</v>
      </c>
      <c r="K23" s="12">
        <f t="shared" si="14"/>
        <v>-0.95870476190476195</v>
      </c>
    </row>
    <row r="24" spans="1:11" x14ac:dyDescent="0.25">
      <c r="A24" t="s">
        <v>11</v>
      </c>
      <c r="B24">
        <v>290150</v>
      </c>
      <c r="C24" s="3">
        <f t="shared" si="8"/>
        <v>8290</v>
      </c>
      <c r="D24" s="5">
        <f t="shared" si="9"/>
        <v>5526.666666666667</v>
      </c>
      <c r="E24" s="7">
        <v>2152</v>
      </c>
      <c r="F24" s="8">
        <v>65</v>
      </c>
      <c r="G24" s="3">
        <f t="shared" si="10"/>
        <v>-3309.666666666667</v>
      </c>
      <c r="H24" s="3">
        <f t="shared" si="11"/>
        <v>-2647.7333333333336</v>
      </c>
      <c r="I24" s="3">
        <f t="shared" si="15"/>
        <v>-264.77333333333337</v>
      </c>
      <c r="J24" s="3">
        <f t="shared" si="12"/>
        <v>-110.32222222222224</v>
      </c>
      <c r="K24" s="12">
        <f t="shared" si="14"/>
        <v>-8.8257777777777786</v>
      </c>
    </row>
    <row r="25" spans="1:11" x14ac:dyDescent="0.25">
      <c r="A25" t="s">
        <v>12</v>
      </c>
      <c r="B25">
        <v>52371</v>
      </c>
      <c r="C25" s="3">
        <f t="shared" si="8"/>
        <v>1496.3142857142857</v>
      </c>
      <c r="D25" s="5">
        <f t="shared" si="9"/>
        <v>997.54285714285709</v>
      </c>
      <c r="E25" s="7">
        <v>705</v>
      </c>
      <c r="F25" s="8">
        <v>30</v>
      </c>
      <c r="G25" s="3">
        <f t="shared" si="10"/>
        <v>-262.54285714285709</v>
      </c>
      <c r="H25" s="3">
        <f t="shared" si="11"/>
        <v>-210.03428571428569</v>
      </c>
      <c r="I25" s="3">
        <f t="shared" si="15"/>
        <v>-21.003428571428572</v>
      </c>
      <c r="J25" s="3">
        <f t="shared" si="12"/>
        <v>-8.7514285714285691</v>
      </c>
      <c r="K25" s="12">
        <f t="shared" si="14"/>
        <v>-0.70011428571428569</v>
      </c>
    </row>
    <row r="26" spans="1:11" x14ac:dyDescent="0.25">
      <c r="D26" s="3">
        <f>SUM(D17:D25)</f>
        <v>20597.752380952381</v>
      </c>
      <c r="E26" s="3">
        <f>SUM(E17:E25)</f>
        <v>11758</v>
      </c>
      <c r="F26" s="3">
        <f>SUM(F17:F25)</f>
        <v>236</v>
      </c>
      <c r="G26" s="3">
        <f t="shared" si="10"/>
        <v>-8603.7523809523809</v>
      </c>
      <c r="H26" s="3"/>
      <c r="I26" s="3"/>
      <c r="J26" s="3"/>
      <c r="K26" s="12"/>
    </row>
    <row r="27" spans="1:11" ht="15.75" x14ac:dyDescent="0.25">
      <c r="A27" s="35" t="s">
        <v>16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spans="1:11" ht="45" x14ac:dyDescent="0.25">
      <c r="A28" s="1" t="s">
        <v>0</v>
      </c>
      <c r="B28" s="1" t="s">
        <v>25</v>
      </c>
      <c r="C28" s="2" t="s">
        <v>1</v>
      </c>
      <c r="D28" s="4" t="s">
        <v>13</v>
      </c>
      <c r="E28" s="6" t="s">
        <v>24</v>
      </c>
      <c r="F28" s="6" t="s">
        <v>2</v>
      </c>
      <c r="G28" s="1" t="s">
        <v>3</v>
      </c>
      <c r="H28" s="1" t="s">
        <v>28</v>
      </c>
      <c r="I28" s="1" t="s">
        <v>29</v>
      </c>
      <c r="J28" s="11" t="s">
        <v>38</v>
      </c>
      <c r="K28" s="24" t="s">
        <v>37</v>
      </c>
    </row>
    <row r="29" spans="1:11" x14ac:dyDescent="0.25">
      <c r="A29" t="s">
        <v>4</v>
      </c>
      <c r="B29">
        <v>55699</v>
      </c>
      <c r="C29" s="3">
        <f t="shared" ref="C29:C37" si="16">B29/$D$1</f>
        <v>1591.4</v>
      </c>
      <c r="D29" s="5">
        <f>C29*112/$D$2</f>
        <v>1856.6333333333334</v>
      </c>
      <c r="E29" s="7">
        <v>354</v>
      </c>
      <c r="F29" s="8">
        <v>0</v>
      </c>
      <c r="G29" s="3">
        <f t="shared" ref="G29:G37" si="17">(F29+E29)-D29</f>
        <v>-1502.6333333333334</v>
      </c>
      <c r="H29" s="3">
        <f t="shared" ref="H29:H37" si="18">G29*0.8</f>
        <v>-1202.1066666666668</v>
      </c>
      <c r="I29" s="3">
        <f t="shared" ref="I29:I37" si="19">H29*0.1</f>
        <v>-120.21066666666668</v>
      </c>
      <c r="J29" s="3">
        <f t="shared" ref="J29:J37" si="20">IF(G29 &gt; 0,"",G29/30)</f>
        <v>-50.087777777777781</v>
      </c>
      <c r="K29" s="12">
        <f t="shared" ref="K29:K37" si="21">IF(I29 &gt; 0,"",I29/30)</f>
        <v>-4.0070222222222229</v>
      </c>
    </row>
    <row r="30" spans="1:11" x14ac:dyDescent="0.25">
      <c r="A30" t="s">
        <v>5</v>
      </c>
      <c r="B30">
        <v>51836</v>
      </c>
      <c r="C30" s="3">
        <f t="shared" si="16"/>
        <v>1481.0285714285715</v>
      </c>
      <c r="D30" s="5">
        <f t="shared" ref="D30:D37" si="22">C30*112/$D$2</f>
        <v>1727.8666666666668</v>
      </c>
      <c r="E30" s="7">
        <v>497</v>
      </c>
      <c r="F30" s="8">
        <v>29</v>
      </c>
      <c r="G30" s="3">
        <f t="shared" si="17"/>
        <v>-1201.8666666666668</v>
      </c>
      <c r="H30" s="3">
        <f t="shared" si="18"/>
        <v>-961.49333333333345</v>
      </c>
      <c r="I30" s="3">
        <f t="shared" si="19"/>
        <v>-96.149333333333345</v>
      </c>
      <c r="J30" s="3">
        <f t="shared" si="20"/>
        <v>-40.062222222222225</v>
      </c>
      <c r="K30" s="12">
        <f t="shared" si="21"/>
        <v>-3.2049777777777781</v>
      </c>
    </row>
    <row r="31" spans="1:11" x14ac:dyDescent="0.25">
      <c r="A31" t="s">
        <v>6</v>
      </c>
      <c r="B31">
        <v>204021</v>
      </c>
      <c r="C31" s="3">
        <f t="shared" si="16"/>
        <v>5829.1714285714288</v>
      </c>
      <c r="D31" s="5">
        <f t="shared" si="22"/>
        <v>6800.7000000000007</v>
      </c>
      <c r="E31" s="7">
        <v>1822</v>
      </c>
      <c r="F31" s="8">
        <v>0</v>
      </c>
      <c r="G31" s="3">
        <f t="shared" si="17"/>
        <v>-4978.7000000000007</v>
      </c>
      <c r="H31" s="3">
        <f t="shared" si="18"/>
        <v>-3982.9600000000009</v>
      </c>
      <c r="I31" s="3">
        <f t="shared" si="19"/>
        <v>-398.29600000000011</v>
      </c>
      <c r="J31" s="3">
        <f t="shared" si="20"/>
        <v>-165.95666666666668</v>
      </c>
      <c r="K31" s="12">
        <f t="shared" si="21"/>
        <v>-13.276533333333337</v>
      </c>
    </row>
    <row r="32" spans="1:11" x14ac:dyDescent="0.25">
      <c r="A32" t="s">
        <v>7</v>
      </c>
      <c r="B32">
        <v>271621</v>
      </c>
      <c r="C32" s="3">
        <f t="shared" si="16"/>
        <v>7760.6</v>
      </c>
      <c r="D32" s="5">
        <f t="shared" si="22"/>
        <v>9054.0333333333347</v>
      </c>
      <c r="E32" s="7">
        <v>2602</v>
      </c>
      <c r="F32" s="8">
        <v>0</v>
      </c>
      <c r="G32" s="3">
        <f t="shared" si="17"/>
        <v>-6452.0333333333347</v>
      </c>
      <c r="H32" s="3">
        <f t="shared" si="18"/>
        <v>-5161.6266666666679</v>
      </c>
      <c r="I32" s="3">
        <f t="shared" si="19"/>
        <v>-516.16266666666684</v>
      </c>
      <c r="J32" s="3">
        <f t="shared" si="20"/>
        <v>-215.06777777777782</v>
      </c>
      <c r="K32" s="12">
        <f t="shared" si="21"/>
        <v>-17.205422222222229</v>
      </c>
    </row>
    <row r="33" spans="1:11" x14ac:dyDescent="0.25">
      <c r="A33" t="s">
        <v>8</v>
      </c>
      <c r="B33">
        <v>57171</v>
      </c>
      <c r="C33" s="3">
        <f t="shared" si="16"/>
        <v>1633.4571428571428</v>
      </c>
      <c r="D33" s="5">
        <f t="shared" si="22"/>
        <v>1905.6999999999998</v>
      </c>
      <c r="E33" s="7">
        <v>667</v>
      </c>
      <c r="F33" s="8">
        <v>0</v>
      </c>
      <c r="G33" s="3">
        <f t="shared" si="17"/>
        <v>-1238.6999999999998</v>
      </c>
      <c r="H33" s="3">
        <f t="shared" si="18"/>
        <v>-990.95999999999992</v>
      </c>
      <c r="I33" s="3">
        <f t="shared" si="19"/>
        <v>-99.096000000000004</v>
      </c>
      <c r="J33" s="3">
        <f t="shared" si="20"/>
        <v>-41.289999999999992</v>
      </c>
      <c r="K33" s="12">
        <f t="shared" si="21"/>
        <v>-3.3031999999999999</v>
      </c>
    </row>
    <row r="34" spans="1:11" x14ac:dyDescent="0.25">
      <c r="A34" t="s">
        <v>9</v>
      </c>
      <c r="B34">
        <v>13856</v>
      </c>
      <c r="C34" s="3">
        <f t="shared" si="16"/>
        <v>395.8857142857143</v>
      </c>
      <c r="D34" s="5">
        <f t="shared" si="22"/>
        <v>461.86666666666673</v>
      </c>
      <c r="E34" s="7">
        <v>105</v>
      </c>
      <c r="F34" s="8">
        <v>0</v>
      </c>
      <c r="G34" s="3">
        <f t="shared" si="17"/>
        <v>-356.86666666666673</v>
      </c>
      <c r="H34" s="3">
        <f t="shared" si="18"/>
        <v>-285.4933333333334</v>
      </c>
      <c r="I34" s="3">
        <f t="shared" si="19"/>
        <v>-28.54933333333334</v>
      </c>
      <c r="J34" s="3">
        <f t="shared" si="20"/>
        <v>-11.895555555555557</v>
      </c>
      <c r="K34" s="12">
        <f t="shared" si="21"/>
        <v>-0.95164444444444463</v>
      </c>
    </row>
    <row r="35" spans="1:11" x14ac:dyDescent="0.25">
      <c r="A35" t="s">
        <v>10</v>
      </c>
      <c r="B35">
        <v>84657</v>
      </c>
      <c r="C35" s="3">
        <f t="shared" si="16"/>
        <v>2418.7714285714287</v>
      </c>
      <c r="D35" s="5">
        <f t="shared" si="22"/>
        <v>2821.9</v>
      </c>
      <c r="E35" s="7">
        <v>1052</v>
      </c>
      <c r="F35" s="8">
        <v>0</v>
      </c>
      <c r="G35" s="3">
        <f t="shared" si="17"/>
        <v>-1769.9</v>
      </c>
      <c r="H35" s="3">
        <f t="shared" si="18"/>
        <v>-1415.92</v>
      </c>
      <c r="I35" s="3">
        <f t="shared" si="19"/>
        <v>-141.59200000000001</v>
      </c>
      <c r="J35" s="3">
        <f t="shared" si="20"/>
        <v>-58.99666666666667</v>
      </c>
      <c r="K35" s="12">
        <f t="shared" si="21"/>
        <v>-4.719733333333334</v>
      </c>
    </row>
    <row r="36" spans="1:11" x14ac:dyDescent="0.25">
      <c r="A36" t="s">
        <v>11</v>
      </c>
      <c r="B36">
        <v>290150</v>
      </c>
      <c r="C36" s="3">
        <f t="shared" si="16"/>
        <v>8290</v>
      </c>
      <c r="D36" s="5">
        <f t="shared" si="22"/>
        <v>9671.6666666666661</v>
      </c>
      <c r="E36" s="7">
        <v>1746</v>
      </c>
      <c r="F36" s="8">
        <v>21</v>
      </c>
      <c r="G36" s="3">
        <f t="shared" si="17"/>
        <v>-7904.6666666666661</v>
      </c>
      <c r="H36" s="3">
        <f t="shared" si="18"/>
        <v>-6323.7333333333336</v>
      </c>
      <c r="I36" s="3">
        <f t="shared" si="19"/>
        <v>-632.37333333333345</v>
      </c>
      <c r="J36" s="3">
        <f t="shared" si="20"/>
        <v>-263.48888888888888</v>
      </c>
      <c r="K36" s="12">
        <f t="shared" si="21"/>
        <v>-21.079111111111114</v>
      </c>
    </row>
    <row r="37" spans="1:11" x14ac:dyDescent="0.25">
      <c r="A37" t="s">
        <v>12</v>
      </c>
      <c r="B37">
        <v>52371</v>
      </c>
      <c r="C37" s="3">
        <f t="shared" si="16"/>
        <v>1496.3142857142857</v>
      </c>
      <c r="D37" s="5">
        <f t="shared" si="22"/>
        <v>1745.7</v>
      </c>
      <c r="E37" s="7">
        <v>547</v>
      </c>
      <c r="F37" s="8">
        <v>0</v>
      </c>
      <c r="G37" s="3">
        <f t="shared" si="17"/>
        <v>-1198.7</v>
      </c>
      <c r="H37" s="3">
        <f t="shared" si="18"/>
        <v>-958.96</v>
      </c>
      <c r="I37" s="3">
        <f t="shared" si="19"/>
        <v>-95.896000000000015</v>
      </c>
      <c r="J37" s="3">
        <f t="shared" si="20"/>
        <v>-39.956666666666671</v>
      </c>
      <c r="K37" s="12">
        <f t="shared" si="21"/>
        <v>-3.1965333333333339</v>
      </c>
    </row>
    <row r="38" spans="1:11" x14ac:dyDescent="0.25">
      <c r="D38" s="3">
        <f>SUM(D29:D37)</f>
        <v>36046.066666666666</v>
      </c>
      <c r="E38" s="3">
        <f>SUM(E29:E37)</f>
        <v>9392</v>
      </c>
      <c r="F38" s="3">
        <f>SUM(F29:F37)</f>
        <v>50</v>
      </c>
      <c r="G38" s="3">
        <f>(F38+E38)-D38</f>
        <v>-26604.066666666666</v>
      </c>
      <c r="H38" s="3"/>
      <c r="I38" s="3"/>
      <c r="J38" s="3"/>
    </row>
    <row r="39" spans="1:11" ht="15.75" x14ac:dyDescent="0.25">
      <c r="A39" s="35" t="s">
        <v>17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spans="1:11" ht="45" x14ac:dyDescent="0.25">
      <c r="A40" s="1" t="s">
        <v>0</v>
      </c>
      <c r="B40" s="1" t="s">
        <v>25</v>
      </c>
      <c r="C40" s="2" t="s">
        <v>1</v>
      </c>
      <c r="D40" s="4" t="s">
        <v>13</v>
      </c>
      <c r="E40" s="6" t="s">
        <v>24</v>
      </c>
      <c r="F40" s="6" t="s">
        <v>2</v>
      </c>
      <c r="G40" s="1" t="s">
        <v>3</v>
      </c>
      <c r="H40" s="1" t="s">
        <v>28</v>
      </c>
      <c r="I40" s="1" t="s">
        <v>29</v>
      </c>
      <c r="J40" s="11" t="s">
        <v>38</v>
      </c>
      <c r="K40" s="24" t="s">
        <v>37</v>
      </c>
    </row>
    <row r="41" spans="1:11" x14ac:dyDescent="0.25">
      <c r="A41" t="s">
        <v>4</v>
      </c>
      <c r="B41">
        <v>55699</v>
      </c>
      <c r="C41" s="3">
        <f t="shared" ref="C41:C49" si="23">B41/$D$1</f>
        <v>1591.4</v>
      </c>
      <c r="D41" s="5">
        <f>C41*48/$D$2</f>
        <v>795.70000000000016</v>
      </c>
      <c r="E41" s="7">
        <v>149</v>
      </c>
      <c r="F41" s="8">
        <v>0</v>
      </c>
      <c r="G41" s="3">
        <f t="shared" ref="G41:G50" si="24">(F41+E41)-D41</f>
        <v>-646.70000000000016</v>
      </c>
      <c r="H41" s="3">
        <f t="shared" ref="H41:H49" si="25">G41*0.8</f>
        <v>-517.36000000000013</v>
      </c>
      <c r="I41" s="3">
        <f t="shared" ref="I41:I49" si="26">H41*0.1</f>
        <v>-51.736000000000018</v>
      </c>
      <c r="J41" s="3">
        <f t="shared" ref="J41:J49" si="27">IF(G41 &gt; 0,"",G41/30)</f>
        <v>-21.556666666666672</v>
      </c>
      <c r="K41" s="12">
        <f t="shared" ref="K41:K49" si="28">IF(I41 &gt; 0,"",I41/30)</f>
        <v>-1.7245333333333339</v>
      </c>
    </row>
    <row r="42" spans="1:11" x14ac:dyDescent="0.25">
      <c r="A42" t="s">
        <v>5</v>
      </c>
      <c r="B42">
        <v>51836</v>
      </c>
      <c r="C42" s="3">
        <f t="shared" si="23"/>
        <v>1481.0285714285715</v>
      </c>
      <c r="D42" s="5">
        <f t="shared" ref="D42:D49" si="29">C42*48/$D$2</f>
        <v>740.51428571428585</v>
      </c>
      <c r="E42" s="7">
        <v>171</v>
      </c>
      <c r="F42" s="8">
        <v>0</v>
      </c>
      <c r="G42" s="3">
        <f t="shared" si="24"/>
        <v>-569.51428571428585</v>
      </c>
      <c r="H42" s="3">
        <f t="shared" si="25"/>
        <v>-455.61142857142869</v>
      </c>
      <c r="I42" s="3">
        <f t="shared" si="26"/>
        <v>-45.561142857142869</v>
      </c>
      <c r="J42" s="3">
        <f t="shared" si="27"/>
        <v>-18.98380952380953</v>
      </c>
      <c r="K42" s="12">
        <f t="shared" si="28"/>
        <v>-1.5187047619047622</v>
      </c>
    </row>
    <row r="43" spans="1:11" x14ac:dyDescent="0.25">
      <c r="A43" t="s">
        <v>6</v>
      </c>
      <c r="B43">
        <v>204021</v>
      </c>
      <c r="C43" s="3">
        <f t="shared" si="23"/>
        <v>5829.1714285714288</v>
      </c>
      <c r="D43" s="5">
        <f t="shared" si="29"/>
        <v>2914.5857142857144</v>
      </c>
      <c r="E43" s="7">
        <v>725</v>
      </c>
      <c r="F43" s="8">
        <v>0</v>
      </c>
      <c r="G43" s="3">
        <f t="shared" si="24"/>
        <v>-2189.5857142857144</v>
      </c>
      <c r="H43" s="3">
        <f t="shared" si="25"/>
        <v>-1751.6685714285716</v>
      </c>
      <c r="I43" s="3">
        <f t="shared" si="26"/>
        <v>-175.16685714285717</v>
      </c>
      <c r="J43" s="3">
        <f t="shared" si="27"/>
        <v>-72.986190476190487</v>
      </c>
      <c r="K43" s="12">
        <f t="shared" si="28"/>
        <v>-5.8388952380952386</v>
      </c>
    </row>
    <row r="44" spans="1:11" x14ac:dyDescent="0.25">
      <c r="A44" t="s">
        <v>7</v>
      </c>
      <c r="B44">
        <v>271621</v>
      </c>
      <c r="C44" s="3">
        <f t="shared" si="23"/>
        <v>7760.6</v>
      </c>
      <c r="D44" s="5">
        <f t="shared" si="29"/>
        <v>3880.3000000000006</v>
      </c>
      <c r="E44" s="7">
        <v>896</v>
      </c>
      <c r="F44" s="8">
        <v>23</v>
      </c>
      <c r="G44" s="3">
        <f t="shared" si="24"/>
        <v>-2961.3000000000006</v>
      </c>
      <c r="H44" s="3">
        <f t="shared" si="25"/>
        <v>-2369.0400000000004</v>
      </c>
      <c r="I44" s="3">
        <f t="shared" si="26"/>
        <v>-236.90400000000005</v>
      </c>
      <c r="J44" s="3">
        <f t="shared" si="27"/>
        <v>-98.710000000000022</v>
      </c>
      <c r="K44" s="12">
        <f t="shared" si="28"/>
        <v>-7.8968000000000016</v>
      </c>
    </row>
    <row r="45" spans="1:11" x14ac:dyDescent="0.25">
      <c r="A45" t="s">
        <v>8</v>
      </c>
      <c r="B45">
        <v>57171</v>
      </c>
      <c r="C45" s="3">
        <f t="shared" si="23"/>
        <v>1633.4571428571428</v>
      </c>
      <c r="D45" s="5">
        <f t="shared" si="29"/>
        <v>816.7285714285714</v>
      </c>
      <c r="E45" s="7">
        <v>149</v>
      </c>
      <c r="F45" s="8">
        <v>0</v>
      </c>
      <c r="G45" s="3">
        <f t="shared" si="24"/>
        <v>-667.7285714285714</v>
      </c>
      <c r="H45" s="3">
        <f t="shared" si="25"/>
        <v>-534.18285714285719</v>
      </c>
      <c r="I45" s="3">
        <f t="shared" si="26"/>
        <v>-53.418285714285723</v>
      </c>
      <c r="J45" s="3">
        <f t="shared" si="27"/>
        <v>-22.257619047619048</v>
      </c>
      <c r="K45" s="12">
        <f t="shared" si="28"/>
        <v>-1.7806095238095241</v>
      </c>
    </row>
    <row r="46" spans="1:11" x14ac:dyDescent="0.25">
      <c r="A46" t="s">
        <v>9</v>
      </c>
      <c r="B46">
        <v>13856</v>
      </c>
      <c r="C46" s="3">
        <f t="shared" si="23"/>
        <v>395.8857142857143</v>
      </c>
      <c r="D46" s="5">
        <f t="shared" si="29"/>
        <v>197.94285714285715</v>
      </c>
      <c r="E46" s="7">
        <v>80</v>
      </c>
      <c r="F46" s="8">
        <v>0</v>
      </c>
      <c r="G46" s="3">
        <f t="shared" si="24"/>
        <v>-117.94285714285715</v>
      </c>
      <c r="H46" s="3">
        <f t="shared" si="25"/>
        <v>-94.354285714285723</v>
      </c>
      <c r="I46" s="3">
        <f>H46*0.1</f>
        <v>-9.4354285714285719</v>
      </c>
      <c r="J46" s="3">
        <f>IF(G46 &gt; 0,"",G46/30)</f>
        <v>-3.9314285714285715</v>
      </c>
      <c r="K46" s="12">
        <f t="shared" si="28"/>
        <v>-0.31451428571428575</v>
      </c>
    </row>
    <row r="47" spans="1:11" x14ac:dyDescent="0.25">
      <c r="A47" t="s">
        <v>10</v>
      </c>
      <c r="B47">
        <v>84657</v>
      </c>
      <c r="C47" s="3">
        <f t="shared" si="23"/>
        <v>2418.7714285714287</v>
      </c>
      <c r="D47" s="5">
        <f t="shared" si="29"/>
        <v>1209.3857142857144</v>
      </c>
      <c r="E47" s="7">
        <v>299</v>
      </c>
      <c r="F47" s="8">
        <v>0</v>
      </c>
      <c r="G47" s="3">
        <f t="shared" si="24"/>
        <v>-910.38571428571436</v>
      </c>
      <c r="H47" s="3">
        <f t="shared" si="25"/>
        <v>-728.30857142857155</v>
      </c>
      <c r="I47" s="3">
        <f t="shared" si="26"/>
        <v>-72.830857142857155</v>
      </c>
      <c r="J47" s="3">
        <f t="shared" si="27"/>
        <v>-30.346190476190479</v>
      </c>
      <c r="K47" s="12">
        <f t="shared" si="28"/>
        <v>-2.4276952380952386</v>
      </c>
    </row>
    <row r="48" spans="1:11" x14ac:dyDescent="0.25">
      <c r="A48" t="s">
        <v>11</v>
      </c>
      <c r="B48">
        <v>290150</v>
      </c>
      <c r="C48" s="3">
        <f t="shared" si="23"/>
        <v>8290</v>
      </c>
      <c r="D48" s="5">
        <f t="shared" si="29"/>
        <v>4145</v>
      </c>
      <c r="E48" s="7">
        <v>644</v>
      </c>
      <c r="F48" s="8">
        <v>0</v>
      </c>
      <c r="G48" s="3">
        <f t="shared" si="24"/>
        <v>-3501</v>
      </c>
      <c r="H48" s="3">
        <f t="shared" si="25"/>
        <v>-2800.8</v>
      </c>
      <c r="I48" s="3">
        <f t="shared" si="26"/>
        <v>-280.08000000000004</v>
      </c>
      <c r="J48" s="3">
        <f t="shared" si="27"/>
        <v>-116.7</v>
      </c>
      <c r="K48" s="12">
        <f t="shared" si="28"/>
        <v>-9.3360000000000021</v>
      </c>
    </row>
    <row r="49" spans="1:11" x14ac:dyDescent="0.25">
      <c r="A49" t="s">
        <v>12</v>
      </c>
      <c r="B49">
        <v>52371</v>
      </c>
      <c r="C49" s="3">
        <f t="shared" si="23"/>
        <v>1496.3142857142857</v>
      </c>
      <c r="D49" s="5">
        <f t="shared" si="29"/>
        <v>748.15714285714284</v>
      </c>
      <c r="E49" s="7">
        <v>257</v>
      </c>
      <c r="F49" s="8">
        <v>0</v>
      </c>
      <c r="G49" s="3">
        <f t="shared" si="24"/>
        <v>-491.15714285714284</v>
      </c>
      <c r="H49" s="3">
        <f t="shared" si="25"/>
        <v>-392.92571428571432</v>
      </c>
      <c r="I49" s="3">
        <f t="shared" si="26"/>
        <v>-39.292571428571435</v>
      </c>
      <c r="J49" s="3">
        <f t="shared" si="27"/>
        <v>-16.371904761904762</v>
      </c>
      <c r="K49" s="12">
        <f t="shared" si="28"/>
        <v>-1.3097523809523812</v>
      </c>
    </row>
    <row r="50" spans="1:11" x14ac:dyDescent="0.25">
      <c r="D50" s="3">
        <f>SUM(D41:D49)</f>
        <v>15448.314285714287</v>
      </c>
      <c r="E50" s="3">
        <f>SUM(E41:E49)</f>
        <v>3370</v>
      </c>
      <c r="F50" s="3">
        <f>SUM(F41:F49)</f>
        <v>23</v>
      </c>
      <c r="G50" s="3">
        <f t="shared" si="24"/>
        <v>-12055.314285714287</v>
      </c>
      <c r="H50" s="3"/>
      <c r="I50" s="3"/>
      <c r="J50" s="3"/>
    </row>
    <row r="51" spans="1:11" ht="15.75" x14ac:dyDescent="0.25">
      <c r="A51" s="35" t="s">
        <v>18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</row>
    <row r="52" spans="1:11" ht="45" x14ac:dyDescent="0.25">
      <c r="A52" s="1" t="s">
        <v>0</v>
      </c>
      <c r="B52" s="1" t="s">
        <v>25</v>
      </c>
      <c r="C52" s="2" t="s">
        <v>1</v>
      </c>
      <c r="D52" s="4" t="s">
        <v>13</v>
      </c>
      <c r="E52" s="6" t="s">
        <v>24</v>
      </c>
      <c r="F52" s="6" t="s">
        <v>2</v>
      </c>
      <c r="G52" s="1" t="s">
        <v>3</v>
      </c>
      <c r="H52" s="1" t="s">
        <v>28</v>
      </c>
      <c r="I52" s="1" t="s">
        <v>29</v>
      </c>
      <c r="J52" s="11" t="s">
        <v>38</v>
      </c>
      <c r="K52" s="24" t="s">
        <v>37</v>
      </c>
    </row>
    <row r="53" spans="1:11" x14ac:dyDescent="0.25">
      <c r="A53" t="s">
        <v>4</v>
      </c>
      <c r="B53">
        <v>55699</v>
      </c>
      <c r="C53" s="3">
        <f t="shared" ref="C53:C61" si="30">B53/$D$1</f>
        <v>1591.4</v>
      </c>
      <c r="D53" s="5">
        <f>C53*128/$D$2</f>
        <v>2121.8666666666668</v>
      </c>
      <c r="E53" s="7">
        <v>361</v>
      </c>
      <c r="F53" s="8">
        <v>0</v>
      </c>
      <c r="G53" s="3">
        <f t="shared" ref="G53:G62" si="31">(F53+E53)-D53</f>
        <v>-1760.8666666666668</v>
      </c>
      <c r="H53" s="3">
        <f t="shared" ref="H53:H61" si="32">G53*0.8</f>
        <v>-1408.6933333333336</v>
      </c>
      <c r="I53" s="3">
        <f t="shared" ref="I53:I61" si="33">H53*0.1</f>
        <v>-140.86933333333337</v>
      </c>
      <c r="J53" s="3">
        <f t="shared" ref="J53:J61" si="34">IF(G53 &gt; 0,"",G53/30)</f>
        <v>-58.695555555555558</v>
      </c>
      <c r="K53" s="12">
        <f t="shared" ref="K53:K61" si="35">IF(I53 &gt; 0,"",I53/30)</f>
        <v>-4.6956444444444454</v>
      </c>
    </row>
    <row r="54" spans="1:11" x14ac:dyDescent="0.25">
      <c r="A54" t="s">
        <v>5</v>
      </c>
      <c r="B54">
        <v>51836</v>
      </c>
      <c r="C54" s="3">
        <f t="shared" si="30"/>
        <v>1481.0285714285715</v>
      </c>
      <c r="D54" s="5">
        <f t="shared" ref="D54:D61" si="36">C54*128/$D$2</f>
        <v>1974.7047619047619</v>
      </c>
      <c r="E54" s="7">
        <v>553</v>
      </c>
      <c r="F54" s="8">
        <v>20</v>
      </c>
      <c r="G54" s="3">
        <f t="shared" si="31"/>
        <v>-1401.7047619047619</v>
      </c>
      <c r="H54" s="3">
        <f t="shared" si="32"/>
        <v>-1121.3638095238096</v>
      </c>
      <c r="I54" s="3">
        <f t="shared" si="33"/>
        <v>-112.13638095238096</v>
      </c>
      <c r="J54" s="3">
        <f t="shared" si="34"/>
        <v>-46.72349206349206</v>
      </c>
      <c r="K54" s="12">
        <f t="shared" si="35"/>
        <v>-3.7378793650793654</v>
      </c>
    </row>
    <row r="55" spans="1:11" x14ac:dyDescent="0.25">
      <c r="A55" t="s">
        <v>6</v>
      </c>
      <c r="B55">
        <v>204021</v>
      </c>
      <c r="C55" s="3">
        <f t="shared" si="30"/>
        <v>5829.1714285714288</v>
      </c>
      <c r="D55" s="5">
        <f t="shared" si="36"/>
        <v>7772.2285714285717</v>
      </c>
      <c r="E55" s="7">
        <v>1845</v>
      </c>
      <c r="F55" s="8">
        <v>22</v>
      </c>
      <c r="G55" s="3">
        <f t="shared" si="31"/>
        <v>-5905.2285714285717</v>
      </c>
      <c r="H55" s="3">
        <f t="shared" si="32"/>
        <v>-4724.1828571428578</v>
      </c>
      <c r="I55" s="3">
        <f t="shared" si="33"/>
        <v>-472.41828571428579</v>
      </c>
      <c r="J55" s="3">
        <f t="shared" si="34"/>
        <v>-196.84095238095239</v>
      </c>
      <c r="K55" s="12">
        <f t="shared" si="35"/>
        <v>-15.747276190476192</v>
      </c>
    </row>
    <row r="56" spans="1:11" x14ac:dyDescent="0.25">
      <c r="A56" t="s">
        <v>7</v>
      </c>
      <c r="B56">
        <v>271621</v>
      </c>
      <c r="C56" s="3">
        <f t="shared" si="30"/>
        <v>7760.6</v>
      </c>
      <c r="D56" s="5">
        <f t="shared" si="36"/>
        <v>10347.466666666667</v>
      </c>
      <c r="E56" s="7">
        <v>2227</v>
      </c>
      <c r="F56" s="8">
        <v>0</v>
      </c>
      <c r="G56" s="3">
        <f t="shared" si="31"/>
        <v>-8120.4666666666672</v>
      </c>
      <c r="H56" s="3">
        <f t="shared" si="32"/>
        <v>-6496.3733333333339</v>
      </c>
      <c r="I56" s="3">
        <f t="shared" si="33"/>
        <v>-649.63733333333346</v>
      </c>
      <c r="J56" s="3">
        <f t="shared" si="34"/>
        <v>-270.68222222222226</v>
      </c>
      <c r="K56" s="12">
        <f t="shared" si="35"/>
        <v>-21.654577777777781</v>
      </c>
    </row>
    <row r="57" spans="1:11" x14ac:dyDescent="0.25">
      <c r="A57" t="s">
        <v>8</v>
      </c>
      <c r="B57">
        <v>57171</v>
      </c>
      <c r="C57" s="3">
        <f t="shared" si="30"/>
        <v>1633.4571428571428</v>
      </c>
      <c r="D57" s="5">
        <f t="shared" si="36"/>
        <v>2177.9428571428571</v>
      </c>
      <c r="E57" s="7">
        <v>465</v>
      </c>
      <c r="F57" s="8">
        <v>0</v>
      </c>
      <c r="G57" s="3">
        <f t="shared" si="31"/>
        <v>-1712.9428571428571</v>
      </c>
      <c r="H57" s="3">
        <f t="shared" si="32"/>
        <v>-1370.3542857142857</v>
      </c>
      <c r="I57" s="3">
        <f t="shared" si="33"/>
        <v>-137.03542857142858</v>
      </c>
      <c r="J57" s="3">
        <f t="shared" si="34"/>
        <v>-57.098095238095233</v>
      </c>
      <c r="K57" s="12">
        <f t="shared" si="35"/>
        <v>-4.5678476190476198</v>
      </c>
    </row>
    <row r="58" spans="1:11" x14ac:dyDescent="0.25">
      <c r="A58" t="s">
        <v>9</v>
      </c>
      <c r="B58">
        <v>13856</v>
      </c>
      <c r="C58" s="3">
        <f t="shared" si="30"/>
        <v>395.8857142857143</v>
      </c>
      <c r="D58" s="5">
        <f t="shared" si="36"/>
        <v>527.84761904761911</v>
      </c>
      <c r="E58" s="7">
        <v>137</v>
      </c>
      <c r="F58" s="8">
        <v>24</v>
      </c>
      <c r="G58" s="3">
        <f t="shared" si="31"/>
        <v>-366.84761904761911</v>
      </c>
      <c r="H58" s="3">
        <f t="shared" si="32"/>
        <v>-293.47809523809531</v>
      </c>
      <c r="I58" s="3">
        <f t="shared" si="33"/>
        <v>-29.347809523809531</v>
      </c>
      <c r="J58" s="3">
        <f t="shared" si="34"/>
        <v>-12.22825396825397</v>
      </c>
      <c r="K58" s="12">
        <f t="shared" si="35"/>
        <v>-0.97826031746031772</v>
      </c>
    </row>
    <row r="59" spans="1:11" x14ac:dyDescent="0.25">
      <c r="A59" t="s">
        <v>10</v>
      </c>
      <c r="B59">
        <v>84657</v>
      </c>
      <c r="C59" s="3">
        <f t="shared" si="30"/>
        <v>2418.7714285714287</v>
      </c>
      <c r="D59" s="5">
        <f t="shared" si="36"/>
        <v>3225.0285714285715</v>
      </c>
      <c r="E59" s="7">
        <v>931</v>
      </c>
      <c r="F59" s="8">
        <v>0</v>
      </c>
      <c r="G59" s="3">
        <f t="shared" si="31"/>
        <v>-2294.0285714285715</v>
      </c>
      <c r="H59" s="3">
        <f t="shared" si="32"/>
        <v>-1835.2228571428573</v>
      </c>
      <c r="I59" s="3">
        <f t="shared" si="33"/>
        <v>-183.52228571428574</v>
      </c>
      <c r="J59" s="3">
        <f t="shared" si="34"/>
        <v>-76.467619047619053</v>
      </c>
      <c r="K59" s="12">
        <f t="shared" si="35"/>
        <v>-6.117409523809525</v>
      </c>
    </row>
    <row r="60" spans="1:11" x14ac:dyDescent="0.25">
      <c r="A60" t="s">
        <v>11</v>
      </c>
      <c r="B60">
        <v>290150</v>
      </c>
      <c r="C60" s="3">
        <f t="shared" si="30"/>
        <v>8290</v>
      </c>
      <c r="D60" s="5">
        <f t="shared" si="36"/>
        <v>11053.333333333334</v>
      </c>
      <c r="E60" s="7">
        <v>1890</v>
      </c>
      <c r="F60" s="8">
        <v>0</v>
      </c>
      <c r="G60" s="3">
        <f t="shared" si="31"/>
        <v>-9163.3333333333339</v>
      </c>
      <c r="H60" s="3">
        <f t="shared" si="32"/>
        <v>-7330.6666666666679</v>
      </c>
      <c r="I60" s="3">
        <f t="shared" si="33"/>
        <v>-733.06666666666683</v>
      </c>
      <c r="J60" s="3">
        <f t="shared" si="34"/>
        <v>-305.44444444444446</v>
      </c>
      <c r="K60" s="12">
        <f t="shared" si="35"/>
        <v>-24.43555555555556</v>
      </c>
    </row>
    <row r="61" spans="1:11" x14ac:dyDescent="0.25">
      <c r="A61" t="s">
        <v>12</v>
      </c>
      <c r="B61">
        <v>52371</v>
      </c>
      <c r="C61" s="3">
        <f t="shared" si="30"/>
        <v>1496.3142857142857</v>
      </c>
      <c r="D61" s="5">
        <f t="shared" si="36"/>
        <v>1995.0857142857142</v>
      </c>
      <c r="E61" s="7">
        <v>491</v>
      </c>
      <c r="F61" s="8">
        <v>0</v>
      </c>
      <c r="G61" s="3">
        <f t="shared" si="31"/>
        <v>-1504.0857142857142</v>
      </c>
      <c r="H61" s="3">
        <f t="shared" si="32"/>
        <v>-1203.2685714285715</v>
      </c>
      <c r="I61" s="3">
        <f t="shared" si="33"/>
        <v>-120.32685714285715</v>
      </c>
      <c r="J61" s="3">
        <f t="shared" si="34"/>
        <v>-50.136190476190471</v>
      </c>
      <c r="K61" s="12">
        <f t="shared" si="35"/>
        <v>-4.0108952380952383</v>
      </c>
    </row>
    <row r="62" spans="1:11" x14ac:dyDescent="0.25">
      <c r="D62" s="3">
        <f>SUM(D53:D61)</f>
        <v>41195.504761904762</v>
      </c>
      <c r="E62" s="3">
        <f>SUM(E53:E61)</f>
        <v>8900</v>
      </c>
      <c r="F62" s="3">
        <f>SUM(F53:F61)</f>
        <v>66</v>
      </c>
      <c r="G62" s="3">
        <f t="shared" si="31"/>
        <v>-32229.504761904762</v>
      </c>
      <c r="H62" s="3"/>
      <c r="I62" s="3"/>
      <c r="J62" s="3"/>
    </row>
    <row r="63" spans="1:11" ht="15.75" x14ac:dyDescent="0.25">
      <c r="A63" s="35" t="s">
        <v>19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</row>
    <row r="64" spans="1:11" ht="45" x14ac:dyDescent="0.25">
      <c r="A64" s="1" t="s">
        <v>0</v>
      </c>
      <c r="B64" s="1" t="s">
        <v>25</v>
      </c>
      <c r="C64" s="2" t="s">
        <v>1</v>
      </c>
      <c r="D64" s="4" t="s">
        <v>13</v>
      </c>
      <c r="E64" s="6" t="s">
        <v>24</v>
      </c>
      <c r="F64" s="6" t="s">
        <v>2</v>
      </c>
      <c r="G64" s="1" t="s">
        <v>3</v>
      </c>
      <c r="H64" s="1" t="s">
        <v>28</v>
      </c>
      <c r="I64" s="1" t="s">
        <v>29</v>
      </c>
      <c r="J64" s="11" t="s">
        <v>38</v>
      </c>
      <c r="K64" s="24" t="s">
        <v>37</v>
      </c>
    </row>
    <row r="65" spans="1:11" x14ac:dyDescent="0.25">
      <c r="A65" t="s">
        <v>4</v>
      </c>
      <c r="B65">
        <v>55699</v>
      </c>
      <c r="C65" s="3">
        <f t="shared" ref="C65:C73" si="37">B65/$D$1</f>
        <v>1591.4</v>
      </c>
      <c r="D65" s="5">
        <f t="shared" ref="D65:D73" si="38">C65*48/$D$2</f>
        <v>795.70000000000016</v>
      </c>
      <c r="E65" s="7">
        <v>174</v>
      </c>
      <c r="F65" s="8">
        <v>22</v>
      </c>
      <c r="G65" s="3">
        <f t="shared" ref="G65:G74" si="39">(F65+E65)-D65</f>
        <v>-599.70000000000016</v>
      </c>
      <c r="H65" s="3">
        <f t="shared" ref="H65:H73" si="40">G65*0.8</f>
        <v>-479.76000000000016</v>
      </c>
      <c r="I65" s="3">
        <f t="shared" ref="I65:I73" si="41">H65*0.1</f>
        <v>-47.97600000000002</v>
      </c>
      <c r="J65" s="3">
        <f t="shared" ref="J65:J73" si="42">IF(G65 &gt; 0,"",G65/30)</f>
        <v>-19.990000000000006</v>
      </c>
      <c r="K65" s="12">
        <f t="shared" ref="K65:K73" si="43">IF(I65 &gt; 0,"",I65/30)</f>
        <v>-1.5992000000000006</v>
      </c>
    </row>
    <row r="66" spans="1:11" x14ac:dyDescent="0.25">
      <c r="A66" t="s">
        <v>5</v>
      </c>
      <c r="B66">
        <v>51836</v>
      </c>
      <c r="C66" s="3">
        <f t="shared" si="37"/>
        <v>1481.0285714285715</v>
      </c>
      <c r="D66" s="5">
        <f t="shared" si="38"/>
        <v>740.51428571428585</v>
      </c>
      <c r="E66" s="7">
        <v>346</v>
      </c>
      <c r="F66" s="8">
        <v>0</v>
      </c>
      <c r="G66" s="3">
        <f t="shared" si="39"/>
        <v>-394.51428571428585</v>
      </c>
      <c r="H66" s="3">
        <f t="shared" si="40"/>
        <v>-315.61142857142869</v>
      </c>
      <c r="I66" s="3">
        <f t="shared" si="41"/>
        <v>-31.561142857142869</v>
      </c>
      <c r="J66" s="3">
        <f t="shared" si="42"/>
        <v>-13.150476190476194</v>
      </c>
      <c r="K66" s="12">
        <f t="shared" si="43"/>
        <v>-1.0520380952380957</v>
      </c>
    </row>
    <row r="67" spans="1:11" x14ac:dyDescent="0.25">
      <c r="A67" t="s">
        <v>6</v>
      </c>
      <c r="B67">
        <v>204021</v>
      </c>
      <c r="C67" s="3">
        <f t="shared" si="37"/>
        <v>5829.1714285714288</v>
      </c>
      <c r="D67" s="5">
        <f t="shared" si="38"/>
        <v>2914.5857142857144</v>
      </c>
      <c r="E67" s="7">
        <v>1084</v>
      </c>
      <c r="F67" s="8">
        <v>113</v>
      </c>
      <c r="G67" s="3">
        <f t="shared" si="39"/>
        <v>-1717.5857142857144</v>
      </c>
      <c r="H67" s="3">
        <f t="shared" si="40"/>
        <v>-1374.0685714285717</v>
      </c>
      <c r="I67" s="3">
        <f t="shared" si="41"/>
        <v>-137.40685714285718</v>
      </c>
      <c r="J67" s="3">
        <f t="shared" si="42"/>
        <v>-57.252857142857145</v>
      </c>
      <c r="K67" s="12">
        <f t="shared" si="43"/>
        <v>-4.5802285714285729</v>
      </c>
    </row>
    <row r="68" spans="1:11" x14ac:dyDescent="0.25">
      <c r="A68" t="s">
        <v>7</v>
      </c>
      <c r="B68">
        <v>271621</v>
      </c>
      <c r="C68" s="3">
        <f t="shared" si="37"/>
        <v>7760.6</v>
      </c>
      <c r="D68" s="5">
        <f t="shared" si="38"/>
        <v>3880.3000000000006</v>
      </c>
      <c r="E68" s="7">
        <v>1562</v>
      </c>
      <c r="F68" s="8">
        <v>184</v>
      </c>
      <c r="G68" s="3">
        <f t="shared" si="39"/>
        <v>-2134.3000000000006</v>
      </c>
      <c r="H68" s="3">
        <f t="shared" si="40"/>
        <v>-1707.4400000000005</v>
      </c>
      <c r="I68" s="3">
        <f t="shared" si="41"/>
        <v>-170.74400000000006</v>
      </c>
      <c r="J68" s="3">
        <f t="shared" si="42"/>
        <v>-71.143333333333359</v>
      </c>
      <c r="K68" s="12">
        <f t="shared" si="43"/>
        <v>-5.6914666666666687</v>
      </c>
    </row>
    <row r="69" spans="1:11" x14ac:dyDescent="0.25">
      <c r="A69" t="s">
        <v>8</v>
      </c>
      <c r="B69">
        <v>57171</v>
      </c>
      <c r="C69" s="3">
        <f t="shared" si="37"/>
        <v>1633.4571428571428</v>
      </c>
      <c r="D69" s="5">
        <f t="shared" si="38"/>
        <v>816.7285714285714</v>
      </c>
      <c r="E69" s="7">
        <v>301</v>
      </c>
      <c r="F69" s="8">
        <v>46</v>
      </c>
      <c r="G69" s="3">
        <f t="shared" si="39"/>
        <v>-469.7285714285714</v>
      </c>
      <c r="H69" s="3">
        <f t="shared" si="40"/>
        <v>-375.78285714285715</v>
      </c>
      <c r="I69" s="3">
        <f t="shared" si="41"/>
        <v>-37.57828571428572</v>
      </c>
      <c r="J69" s="3">
        <f t="shared" si="42"/>
        <v>-15.657619047619047</v>
      </c>
      <c r="K69" s="12">
        <f t="shared" si="43"/>
        <v>-1.2526095238095241</v>
      </c>
    </row>
    <row r="70" spans="1:11" x14ac:dyDescent="0.25">
      <c r="A70" t="s">
        <v>9</v>
      </c>
      <c r="B70">
        <v>13856</v>
      </c>
      <c r="C70" s="3">
        <f t="shared" si="37"/>
        <v>395.8857142857143</v>
      </c>
      <c r="D70" s="5">
        <f t="shared" si="38"/>
        <v>197.94285714285715</v>
      </c>
      <c r="E70" s="7">
        <v>122</v>
      </c>
      <c r="F70" s="8">
        <v>0</v>
      </c>
      <c r="G70" s="3">
        <f t="shared" si="39"/>
        <v>-75.94285714285715</v>
      </c>
      <c r="H70" s="3">
        <f t="shared" si="40"/>
        <v>-60.754285714285722</v>
      </c>
      <c r="I70" s="3">
        <f t="shared" si="41"/>
        <v>-6.0754285714285725</v>
      </c>
      <c r="J70" s="3">
        <f t="shared" si="42"/>
        <v>-2.5314285714285716</v>
      </c>
      <c r="K70" s="12">
        <f t="shared" si="43"/>
        <v>-0.20251428571428576</v>
      </c>
    </row>
    <row r="71" spans="1:11" x14ac:dyDescent="0.25">
      <c r="A71" t="s">
        <v>10</v>
      </c>
      <c r="B71">
        <v>84657</v>
      </c>
      <c r="C71" s="3">
        <f t="shared" si="37"/>
        <v>2418.7714285714287</v>
      </c>
      <c r="D71" s="5">
        <f t="shared" si="38"/>
        <v>1209.3857142857144</v>
      </c>
      <c r="E71" s="7">
        <v>517</v>
      </c>
      <c r="F71" s="8">
        <v>49</v>
      </c>
      <c r="G71" s="3">
        <f t="shared" si="39"/>
        <v>-643.38571428571436</v>
      </c>
      <c r="H71" s="3">
        <f t="shared" si="40"/>
        <v>-514.70857142857153</v>
      </c>
      <c r="I71" s="3">
        <f t="shared" si="41"/>
        <v>-51.470857142857156</v>
      </c>
      <c r="J71" s="3">
        <f t="shared" si="42"/>
        <v>-21.446190476190477</v>
      </c>
      <c r="K71" s="12">
        <f t="shared" si="43"/>
        <v>-1.7156952380952386</v>
      </c>
    </row>
    <row r="72" spans="1:11" x14ac:dyDescent="0.25">
      <c r="A72" t="s">
        <v>11</v>
      </c>
      <c r="B72">
        <v>290150</v>
      </c>
      <c r="C72" s="3">
        <f t="shared" si="37"/>
        <v>8290</v>
      </c>
      <c r="D72" s="5">
        <f t="shared" si="38"/>
        <v>4145</v>
      </c>
      <c r="E72" s="7">
        <v>932</v>
      </c>
      <c r="F72" s="8">
        <v>2</v>
      </c>
      <c r="G72" s="3">
        <f t="shared" si="39"/>
        <v>-3211</v>
      </c>
      <c r="H72" s="3">
        <f t="shared" si="40"/>
        <v>-2568.8000000000002</v>
      </c>
      <c r="I72" s="3">
        <f t="shared" si="41"/>
        <v>-256.88000000000005</v>
      </c>
      <c r="J72" s="3">
        <f t="shared" si="42"/>
        <v>-107.03333333333333</v>
      </c>
      <c r="K72" s="12">
        <f t="shared" si="43"/>
        <v>-8.5626666666666686</v>
      </c>
    </row>
    <row r="73" spans="1:11" x14ac:dyDescent="0.25">
      <c r="A73" t="s">
        <v>12</v>
      </c>
      <c r="B73">
        <v>52371</v>
      </c>
      <c r="C73" s="3">
        <f t="shared" si="37"/>
        <v>1496.3142857142857</v>
      </c>
      <c r="D73" s="5">
        <f t="shared" si="38"/>
        <v>748.15714285714284</v>
      </c>
      <c r="E73" s="7">
        <v>318</v>
      </c>
      <c r="F73" s="8">
        <v>0</v>
      </c>
      <c r="G73" s="3">
        <f t="shared" si="39"/>
        <v>-430.15714285714284</v>
      </c>
      <c r="H73" s="3">
        <f t="shared" si="40"/>
        <v>-344.12571428571431</v>
      </c>
      <c r="I73" s="3">
        <f t="shared" si="41"/>
        <v>-34.412571428571432</v>
      </c>
      <c r="J73" s="3">
        <f t="shared" si="42"/>
        <v>-14.338571428571429</v>
      </c>
      <c r="K73" s="12">
        <f t="shared" si="43"/>
        <v>-1.1470857142857145</v>
      </c>
    </row>
    <row r="74" spans="1:11" x14ac:dyDescent="0.25">
      <c r="D74" s="3">
        <f>SUM(D65:D73)</f>
        <v>15448.314285714287</v>
      </c>
      <c r="E74" s="3">
        <f>SUM(E65:E73)</f>
        <v>5356</v>
      </c>
      <c r="F74" s="3">
        <f>SUM(F65:F73)</f>
        <v>416</v>
      </c>
      <c r="G74" s="3">
        <f t="shared" si="39"/>
        <v>-9676.3142857142866</v>
      </c>
      <c r="H74" s="3"/>
      <c r="I74" s="3"/>
      <c r="J74" s="3"/>
    </row>
    <row r="75" spans="1:11" ht="15.75" x14ac:dyDescent="0.25">
      <c r="A75" s="35" t="s">
        <v>20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spans="1:11" ht="45" x14ac:dyDescent="0.25">
      <c r="A76" s="1" t="s">
        <v>0</v>
      </c>
      <c r="B76" s="1" t="s">
        <v>25</v>
      </c>
      <c r="C76" s="2" t="s">
        <v>1</v>
      </c>
      <c r="D76" s="4" t="s">
        <v>13</v>
      </c>
      <c r="E76" s="6" t="s">
        <v>24</v>
      </c>
      <c r="F76" s="6" t="s">
        <v>2</v>
      </c>
      <c r="G76" s="1" t="s">
        <v>3</v>
      </c>
      <c r="H76" s="1" t="s">
        <v>28</v>
      </c>
      <c r="I76" s="1" t="s">
        <v>29</v>
      </c>
      <c r="J76" s="11" t="s">
        <v>38</v>
      </c>
      <c r="K76" s="24" t="s">
        <v>37</v>
      </c>
    </row>
    <row r="77" spans="1:11" x14ac:dyDescent="0.25">
      <c r="A77" t="s">
        <v>4</v>
      </c>
      <c r="B77">
        <v>55699</v>
      </c>
      <c r="C77" s="3">
        <f t="shared" ref="C77:C85" si="44">B77/$D$1</f>
        <v>1591.4</v>
      </c>
      <c r="D77" s="5">
        <f t="shared" ref="D77:D85" si="45">C77*48/$D$2</f>
        <v>795.70000000000016</v>
      </c>
      <c r="E77" s="7">
        <v>136</v>
      </c>
      <c r="F77" s="8">
        <v>29</v>
      </c>
      <c r="G77" s="3">
        <f t="shared" ref="G77:G86" si="46">(F77+E77)-D77</f>
        <v>-630.70000000000016</v>
      </c>
      <c r="H77" s="3">
        <f t="shared" ref="H77:H85" si="47">G77*0.8</f>
        <v>-504.56000000000017</v>
      </c>
      <c r="I77" s="3">
        <f t="shared" ref="I77:I85" si="48">H77*0.1</f>
        <v>-50.456000000000017</v>
      </c>
      <c r="J77" s="3">
        <f>IF(G77 &gt; 0,"",G77/30)</f>
        <v>-21.023333333333337</v>
      </c>
      <c r="K77" s="12">
        <f t="shared" ref="K77:K85" si="49">IF(I77 &gt; 0,"",I77/30)</f>
        <v>-1.6818666666666673</v>
      </c>
    </row>
    <row r="78" spans="1:11" x14ac:dyDescent="0.25">
      <c r="A78" t="s">
        <v>5</v>
      </c>
      <c r="B78">
        <v>51836</v>
      </c>
      <c r="C78" s="3">
        <f t="shared" si="44"/>
        <v>1481.0285714285715</v>
      </c>
      <c r="D78" s="5">
        <f t="shared" si="45"/>
        <v>740.51428571428585</v>
      </c>
      <c r="E78" s="7">
        <v>302</v>
      </c>
      <c r="F78" s="8">
        <v>30</v>
      </c>
      <c r="G78" s="3">
        <f t="shared" si="46"/>
        <v>-408.51428571428585</v>
      </c>
      <c r="H78" s="3">
        <f t="shared" si="47"/>
        <v>-326.81142857142868</v>
      </c>
      <c r="I78" s="3">
        <f t="shared" si="48"/>
        <v>-32.681142857142866</v>
      </c>
      <c r="J78" s="3">
        <f t="shared" ref="J78:J85" si="50">IF(G78 &gt; 0,"",G78/30)</f>
        <v>-13.617142857142861</v>
      </c>
      <c r="K78" s="12">
        <f t="shared" si="49"/>
        <v>-1.0893714285714289</v>
      </c>
    </row>
    <row r="79" spans="1:11" x14ac:dyDescent="0.25">
      <c r="A79" t="s">
        <v>6</v>
      </c>
      <c r="B79">
        <v>204021</v>
      </c>
      <c r="C79" s="3">
        <f t="shared" si="44"/>
        <v>5829.1714285714288</v>
      </c>
      <c r="D79" s="5">
        <f t="shared" si="45"/>
        <v>2914.5857142857144</v>
      </c>
      <c r="E79" s="7">
        <v>962</v>
      </c>
      <c r="F79" s="8">
        <v>72</v>
      </c>
      <c r="G79" s="3">
        <f t="shared" si="46"/>
        <v>-1880.5857142857144</v>
      </c>
      <c r="H79" s="3">
        <f t="shared" si="47"/>
        <v>-1504.4685714285715</v>
      </c>
      <c r="I79" s="3">
        <f t="shared" si="48"/>
        <v>-150.44685714285717</v>
      </c>
      <c r="J79" s="3">
        <f t="shared" si="50"/>
        <v>-62.686190476190482</v>
      </c>
      <c r="K79" s="12">
        <f t="shared" si="49"/>
        <v>-5.0148952380952387</v>
      </c>
    </row>
    <row r="80" spans="1:11" x14ac:dyDescent="0.25">
      <c r="A80" t="s">
        <v>7</v>
      </c>
      <c r="B80">
        <v>271621</v>
      </c>
      <c r="C80" s="3">
        <f t="shared" si="44"/>
        <v>7760.6</v>
      </c>
      <c r="D80" s="5">
        <f t="shared" si="45"/>
        <v>3880.3000000000006</v>
      </c>
      <c r="E80" s="7">
        <v>1480</v>
      </c>
      <c r="F80" s="8">
        <v>158</v>
      </c>
      <c r="G80" s="3">
        <f t="shared" si="46"/>
        <v>-2242.3000000000006</v>
      </c>
      <c r="H80" s="3">
        <f t="shared" si="47"/>
        <v>-1793.8400000000006</v>
      </c>
      <c r="I80" s="3">
        <f t="shared" si="48"/>
        <v>-179.38400000000007</v>
      </c>
      <c r="J80" s="3">
        <f t="shared" si="50"/>
        <v>-74.743333333333354</v>
      </c>
      <c r="K80" s="12">
        <f t="shared" si="49"/>
        <v>-5.9794666666666689</v>
      </c>
    </row>
    <row r="81" spans="1:11" x14ac:dyDescent="0.25">
      <c r="A81" t="s">
        <v>8</v>
      </c>
      <c r="B81">
        <v>57171</v>
      </c>
      <c r="C81" s="3">
        <f t="shared" si="44"/>
        <v>1633.4571428571428</v>
      </c>
      <c r="D81" s="5">
        <f t="shared" si="45"/>
        <v>816.7285714285714</v>
      </c>
      <c r="E81" s="7">
        <v>297</v>
      </c>
      <c r="F81" s="8">
        <v>26</v>
      </c>
      <c r="G81" s="3">
        <f t="shared" si="46"/>
        <v>-493.7285714285714</v>
      </c>
      <c r="H81" s="3">
        <f t="shared" si="47"/>
        <v>-394.98285714285714</v>
      </c>
      <c r="I81" s="3">
        <f t="shared" si="48"/>
        <v>-39.498285714285714</v>
      </c>
      <c r="J81" s="3">
        <f t="shared" si="50"/>
        <v>-16.457619047619048</v>
      </c>
      <c r="K81" s="12">
        <f t="shared" si="49"/>
        <v>-1.3166095238095239</v>
      </c>
    </row>
    <row r="82" spans="1:11" x14ac:dyDescent="0.25">
      <c r="A82" t="s">
        <v>9</v>
      </c>
      <c r="B82">
        <v>13856</v>
      </c>
      <c r="C82" s="3">
        <f t="shared" si="44"/>
        <v>395.8857142857143</v>
      </c>
      <c r="D82" s="5">
        <f t="shared" si="45"/>
        <v>197.94285714285715</v>
      </c>
      <c r="E82" s="7">
        <v>51</v>
      </c>
      <c r="F82" s="8">
        <v>0</v>
      </c>
      <c r="G82" s="3">
        <f t="shared" si="46"/>
        <v>-146.94285714285715</v>
      </c>
      <c r="H82" s="3">
        <f t="shared" si="47"/>
        <v>-117.55428571428573</v>
      </c>
      <c r="I82" s="3">
        <f t="shared" si="48"/>
        <v>-11.755428571428574</v>
      </c>
      <c r="J82" s="3">
        <f t="shared" si="50"/>
        <v>-4.8980952380952383</v>
      </c>
      <c r="K82" s="12">
        <f t="shared" si="49"/>
        <v>-0.39184761904761911</v>
      </c>
    </row>
    <row r="83" spans="1:11" x14ac:dyDescent="0.25">
      <c r="A83" t="s">
        <v>10</v>
      </c>
      <c r="B83">
        <v>84657</v>
      </c>
      <c r="C83" s="3">
        <f t="shared" si="44"/>
        <v>2418.7714285714287</v>
      </c>
      <c r="D83" s="5">
        <f t="shared" si="45"/>
        <v>1209.3857142857144</v>
      </c>
      <c r="E83" s="7">
        <v>517</v>
      </c>
      <c r="F83" s="8">
        <v>121</v>
      </c>
      <c r="G83" s="3">
        <f t="shared" si="46"/>
        <v>-571.38571428571436</v>
      </c>
      <c r="H83" s="3">
        <f t="shared" si="47"/>
        <v>-457.10857142857151</v>
      </c>
      <c r="I83" s="3">
        <f t="shared" si="48"/>
        <v>-45.710857142857151</v>
      </c>
      <c r="J83" s="3">
        <f t="shared" si="50"/>
        <v>-19.046190476190478</v>
      </c>
      <c r="K83" s="12">
        <f t="shared" si="49"/>
        <v>-1.5236952380952384</v>
      </c>
    </row>
    <row r="84" spans="1:11" x14ac:dyDescent="0.25">
      <c r="A84" t="s">
        <v>11</v>
      </c>
      <c r="B84">
        <v>290150</v>
      </c>
      <c r="C84" s="3">
        <f t="shared" si="44"/>
        <v>8290</v>
      </c>
      <c r="D84" s="5">
        <f t="shared" si="45"/>
        <v>4145</v>
      </c>
      <c r="E84" s="7">
        <v>758</v>
      </c>
      <c r="F84" s="8">
        <v>54</v>
      </c>
      <c r="G84" s="3">
        <f t="shared" si="46"/>
        <v>-3333</v>
      </c>
      <c r="H84" s="3">
        <f t="shared" si="47"/>
        <v>-2666.4</v>
      </c>
      <c r="I84" s="3">
        <f t="shared" si="48"/>
        <v>-266.64000000000004</v>
      </c>
      <c r="J84" s="3">
        <f t="shared" si="50"/>
        <v>-111.1</v>
      </c>
      <c r="K84" s="12">
        <f t="shared" si="49"/>
        <v>-8.8880000000000017</v>
      </c>
    </row>
    <row r="85" spans="1:11" x14ac:dyDescent="0.25">
      <c r="A85" t="s">
        <v>12</v>
      </c>
      <c r="B85">
        <v>52371</v>
      </c>
      <c r="C85" s="3">
        <f t="shared" si="44"/>
        <v>1496.3142857142857</v>
      </c>
      <c r="D85" s="5">
        <f t="shared" si="45"/>
        <v>748.15714285714284</v>
      </c>
      <c r="E85" s="7">
        <v>301</v>
      </c>
      <c r="F85" s="8">
        <v>39</v>
      </c>
      <c r="G85" s="3">
        <f t="shared" si="46"/>
        <v>-408.15714285714284</v>
      </c>
      <c r="H85" s="3">
        <f t="shared" si="47"/>
        <v>-326.52571428571429</v>
      </c>
      <c r="I85" s="3">
        <f t="shared" si="48"/>
        <v>-32.652571428571427</v>
      </c>
      <c r="J85" s="3">
        <f t="shared" si="50"/>
        <v>-13.605238095238095</v>
      </c>
      <c r="K85" s="12">
        <f t="shared" si="49"/>
        <v>-1.0884190476190476</v>
      </c>
    </row>
    <row r="86" spans="1:11" x14ac:dyDescent="0.25">
      <c r="D86" s="3">
        <f>SUM(D77:D85)</f>
        <v>15448.314285714287</v>
      </c>
      <c r="E86" s="3">
        <f>SUM(E77:E85)</f>
        <v>4804</v>
      </c>
      <c r="F86" s="3">
        <f>SUM(F77:F85)</f>
        <v>529</v>
      </c>
      <c r="G86" s="3">
        <f t="shared" si="46"/>
        <v>-10115.314285714287</v>
      </c>
      <c r="H86" s="3"/>
      <c r="I86" s="3"/>
      <c r="J86" s="3"/>
    </row>
    <row r="87" spans="1:11" ht="15.75" x14ac:dyDescent="0.25">
      <c r="A87" s="35" t="s">
        <v>21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</row>
    <row r="88" spans="1:11" ht="45" x14ac:dyDescent="0.25">
      <c r="A88" s="1" t="s">
        <v>0</v>
      </c>
      <c r="B88" s="1" t="s">
        <v>25</v>
      </c>
      <c r="C88" s="2" t="s">
        <v>1</v>
      </c>
      <c r="D88" s="4" t="s">
        <v>13</v>
      </c>
      <c r="E88" s="6" t="s">
        <v>24</v>
      </c>
      <c r="F88" s="6" t="s">
        <v>2</v>
      </c>
      <c r="G88" s="1" t="s">
        <v>3</v>
      </c>
      <c r="H88" s="1" t="s">
        <v>28</v>
      </c>
      <c r="I88" s="1" t="s">
        <v>29</v>
      </c>
      <c r="J88" s="11" t="s">
        <v>38</v>
      </c>
      <c r="K88" s="24" t="s">
        <v>37</v>
      </c>
    </row>
    <row r="89" spans="1:11" x14ac:dyDescent="0.25">
      <c r="A89" t="s">
        <v>4</v>
      </c>
      <c r="B89">
        <v>55699</v>
      </c>
      <c r="C89" s="3">
        <f t="shared" ref="C89:C97" si="51">B89/$D$1</f>
        <v>1591.4</v>
      </c>
      <c r="D89" s="5">
        <f t="shared" ref="D89:D97" si="52">C89*48/$D$2</f>
        <v>795.70000000000016</v>
      </c>
      <c r="E89" s="7">
        <v>178</v>
      </c>
      <c r="F89" s="8">
        <v>0</v>
      </c>
      <c r="G89" s="3">
        <f t="shared" ref="G89:G98" si="53">(F89+E89)-D89</f>
        <v>-617.70000000000016</v>
      </c>
      <c r="H89" s="3">
        <f t="shared" ref="H89:H97" si="54">G89*0.8</f>
        <v>-494.16000000000014</v>
      </c>
      <c r="I89" s="3">
        <f t="shared" ref="I89:I97" si="55">H89*0.1</f>
        <v>-49.416000000000018</v>
      </c>
      <c r="J89" s="3">
        <f>IF(G89 &gt; 0,"",G89/30)</f>
        <v>-20.590000000000007</v>
      </c>
      <c r="K89" s="12">
        <f t="shared" ref="K89:K97" si="56">IF(I89 &gt; 0,"",I89/30)</f>
        <v>-1.6472000000000007</v>
      </c>
    </row>
    <row r="90" spans="1:11" x14ac:dyDescent="0.25">
      <c r="A90" t="s">
        <v>5</v>
      </c>
      <c r="B90">
        <v>51836</v>
      </c>
      <c r="C90" s="3">
        <f t="shared" si="51"/>
        <v>1481.0285714285715</v>
      </c>
      <c r="D90" s="5">
        <f t="shared" si="52"/>
        <v>740.51428571428585</v>
      </c>
      <c r="E90" s="7">
        <v>234</v>
      </c>
      <c r="F90" s="8">
        <v>29</v>
      </c>
      <c r="G90" s="3">
        <f t="shared" si="53"/>
        <v>-477.51428571428585</v>
      </c>
      <c r="H90" s="3">
        <f t="shared" si="54"/>
        <v>-382.01142857142872</v>
      </c>
      <c r="I90" s="3">
        <f t="shared" si="55"/>
        <v>-38.201142857142877</v>
      </c>
      <c r="J90" s="3">
        <f t="shared" ref="J90:J97" si="57">IF(G90 &gt; 0,"",G90/30)</f>
        <v>-15.917142857142862</v>
      </c>
      <c r="K90" s="12">
        <f t="shared" si="56"/>
        <v>-1.2733714285714293</v>
      </c>
    </row>
    <row r="91" spans="1:11" x14ac:dyDescent="0.25">
      <c r="A91" t="s">
        <v>6</v>
      </c>
      <c r="B91">
        <v>204021</v>
      </c>
      <c r="C91" s="3">
        <f t="shared" si="51"/>
        <v>5829.1714285714288</v>
      </c>
      <c r="D91" s="5">
        <f t="shared" si="52"/>
        <v>2914.5857142857144</v>
      </c>
      <c r="E91" s="7">
        <v>710</v>
      </c>
      <c r="F91" s="8">
        <v>0</v>
      </c>
      <c r="G91" s="3">
        <f t="shared" si="53"/>
        <v>-2204.5857142857144</v>
      </c>
      <c r="H91" s="3">
        <f t="shared" si="54"/>
        <v>-1763.6685714285716</v>
      </c>
      <c r="I91" s="3">
        <f t="shared" si="55"/>
        <v>-176.36685714285716</v>
      </c>
      <c r="J91" s="3">
        <f t="shared" si="57"/>
        <v>-73.486190476190487</v>
      </c>
      <c r="K91" s="12">
        <f t="shared" si="56"/>
        <v>-5.8788952380952386</v>
      </c>
    </row>
    <row r="92" spans="1:11" x14ac:dyDescent="0.25">
      <c r="A92" t="s">
        <v>7</v>
      </c>
      <c r="B92">
        <v>271621</v>
      </c>
      <c r="C92" s="3">
        <f t="shared" si="51"/>
        <v>7760.6</v>
      </c>
      <c r="D92" s="5">
        <f t="shared" si="52"/>
        <v>3880.3000000000006</v>
      </c>
      <c r="E92" s="7">
        <v>1073</v>
      </c>
      <c r="F92" s="8">
        <v>0</v>
      </c>
      <c r="G92" s="3">
        <f t="shared" si="53"/>
        <v>-2807.3000000000006</v>
      </c>
      <c r="H92" s="3">
        <f t="shared" si="54"/>
        <v>-2245.8400000000006</v>
      </c>
      <c r="I92" s="3">
        <f t="shared" si="55"/>
        <v>-224.58400000000006</v>
      </c>
      <c r="J92" s="3">
        <f t="shared" si="57"/>
        <v>-93.576666666666682</v>
      </c>
      <c r="K92" s="12">
        <f t="shared" si="56"/>
        <v>-7.4861333333333357</v>
      </c>
    </row>
    <row r="93" spans="1:11" x14ac:dyDescent="0.25">
      <c r="A93" t="s">
        <v>8</v>
      </c>
      <c r="B93">
        <v>57171</v>
      </c>
      <c r="C93" s="3">
        <f t="shared" si="51"/>
        <v>1633.4571428571428</v>
      </c>
      <c r="D93" s="5">
        <f t="shared" si="52"/>
        <v>816.7285714285714</v>
      </c>
      <c r="E93" s="7">
        <v>229</v>
      </c>
      <c r="F93" s="8">
        <v>0</v>
      </c>
      <c r="G93" s="3">
        <f t="shared" si="53"/>
        <v>-587.7285714285714</v>
      </c>
      <c r="H93" s="3">
        <f t="shared" si="54"/>
        <v>-470.18285714285713</v>
      </c>
      <c r="I93" s="3">
        <f t="shared" si="55"/>
        <v>-47.018285714285717</v>
      </c>
      <c r="J93" s="3">
        <f t="shared" si="57"/>
        <v>-19.59095238095238</v>
      </c>
      <c r="K93" s="12">
        <f t="shared" si="56"/>
        <v>-1.5672761904761905</v>
      </c>
    </row>
    <row r="94" spans="1:11" x14ac:dyDescent="0.25">
      <c r="A94" t="s">
        <v>9</v>
      </c>
      <c r="B94">
        <v>13856</v>
      </c>
      <c r="C94" s="3">
        <f t="shared" si="51"/>
        <v>395.8857142857143</v>
      </c>
      <c r="D94" s="5">
        <f t="shared" si="52"/>
        <v>197.94285714285715</v>
      </c>
      <c r="E94" s="7">
        <v>62</v>
      </c>
      <c r="F94" s="8">
        <v>0</v>
      </c>
      <c r="G94" s="3">
        <f t="shared" si="53"/>
        <v>-135.94285714285715</v>
      </c>
      <c r="H94" s="3">
        <f t="shared" si="54"/>
        <v>-108.75428571428573</v>
      </c>
      <c r="I94" s="3">
        <f t="shared" si="55"/>
        <v>-10.875428571428573</v>
      </c>
      <c r="J94" s="3">
        <f t="shared" si="57"/>
        <v>-4.531428571428572</v>
      </c>
      <c r="K94" s="12">
        <f t="shared" si="56"/>
        <v>-0.36251428571428579</v>
      </c>
    </row>
    <row r="95" spans="1:11" x14ac:dyDescent="0.25">
      <c r="A95" t="s">
        <v>10</v>
      </c>
      <c r="B95">
        <v>84657</v>
      </c>
      <c r="C95" s="3">
        <f t="shared" si="51"/>
        <v>2418.7714285714287</v>
      </c>
      <c r="D95" s="5">
        <f t="shared" si="52"/>
        <v>1209.3857142857144</v>
      </c>
      <c r="E95" s="7">
        <v>307</v>
      </c>
      <c r="F95" s="8">
        <v>0</v>
      </c>
      <c r="G95" s="3">
        <f t="shared" si="53"/>
        <v>-902.38571428571436</v>
      </c>
      <c r="H95" s="3">
        <f t="shared" si="54"/>
        <v>-721.90857142857158</v>
      </c>
      <c r="I95" s="3">
        <f t="shared" si="55"/>
        <v>-72.190857142857155</v>
      </c>
      <c r="J95" s="3">
        <f t="shared" si="57"/>
        <v>-30.079523809523813</v>
      </c>
      <c r="K95" s="12">
        <f t="shared" si="56"/>
        <v>-2.4063619047619054</v>
      </c>
    </row>
    <row r="96" spans="1:11" x14ac:dyDescent="0.25">
      <c r="A96" t="s">
        <v>11</v>
      </c>
      <c r="B96">
        <v>290150</v>
      </c>
      <c r="C96" s="3">
        <f t="shared" si="51"/>
        <v>8290</v>
      </c>
      <c r="D96" s="5">
        <f t="shared" si="52"/>
        <v>4145</v>
      </c>
      <c r="E96" s="7">
        <v>685</v>
      </c>
      <c r="F96" s="8">
        <v>29</v>
      </c>
      <c r="G96" s="3">
        <f t="shared" si="53"/>
        <v>-3431</v>
      </c>
      <c r="H96" s="3">
        <f t="shared" si="54"/>
        <v>-2744.8</v>
      </c>
      <c r="I96" s="3">
        <f t="shared" si="55"/>
        <v>-274.48</v>
      </c>
      <c r="J96" s="3">
        <f t="shared" si="57"/>
        <v>-114.36666666666666</v>
      </c>
      <c r="K96" s="12">
        <f t="shared" si="56"/>
        <v>-9.1493333333333347</v>
      </c>
    </row>
    <row r="97" spans="1:11" x14ac:dyDescent="0.25">
      <c r="A97" t="s">
        <v>12</v>
      </c>
      <c r="B97">
        <v>52371</v>
      </c>
      <c r="C97" s="3">
        <f t="shared" si="51"/>
        <v>1496.3142857142857</v>
      </c>
      <c r="D97" s="5">
        <f t="shared" si="52"/>
        <v>748.15714285714284</v>
      </c>
      <c r="E97" s="7">
        <v>260</v>
      </c>
      <c r="F97" s="8">
        <v>0</v>
      </c>
      <c r="G97" s="3">
        <f t="shared" si="53"/>
        <v>-488.15714285714284</v>
      </c>
      <c r="H97" s="3">
        <f t="shared" si="54"/>
        <v>-390.52571428571429</v>
      </c>
      <c r="I97" s="3">
        <f t="shared" si="55"/>
        <v>-39.052571428571433</v>
      </c>
      <c r="J97" s="3">
        <f t="shared" si="57"/>
        <v>-16.271904761904761</v>
      </c>
      <c r="K97" s="12">
        <f t="shared" si="56"/>
        <v>-1.301752380952381</v>
      </c>
    </row>
    <row r="98" spans="1:11" x14ac:dyDescent="0.25">
      <c r="D98" s="3">
        <f>SUM(D89:D97)</f>
        <v>15448.314285714287</v>
      </c>
      <c r="E98" s="3">
        <f>SUM(E89:E97)</f>
        <v>3738</v>
      </c>
      <c r="F98" s="3">
        <f>SUM(F89:F97)</f>
        <v>58</v>
      </c>
      <c r="G98" s="3">
        <f t="shared" si="53"/>
        <v>-11652.314285714287</v>
      </c>
      <c r="H98" s="3"/>
      <c r="I98" s="3"/>
      <c r="J98" s="3"/>
    </row>
    <row r="99" spans="1:11" ht="15.75" x14ac:dyDescent="0.25">
      <c r="A99" s="35" t="s">
        <v>22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</row>
    <row r="100" spans="1:11" ht="45" x14ac:dyDescent="0.25">
      <c r="A100" s="1" t="s">
        <v>0</v>
      </c>
      <c r="B100" s="1" t="s">
        <v>25</v>
      </c>
      <c r="C100" s="2" t="s">
        <v>1</v>
      </c>
      <c r="D100" s="4" t="s">
        <v>13</v>
      </c>
      <c r="E100" s="6" t="s">
        <v>24</v>
      </c>
      <c r="F100" s="6" t="s">
        <v>2</v>
      </c>
      <c r="G100" s="1" t="s">
        <v>3</v>
      </c>
      <c r="H100" s="1" t="s">
        <v>28</v>
      </c>
      <c r="I100" s="1" t="s">
        <v>29</v>
      </c>
      <c r="J100" s="11" t="s">
        <v>38</v>
      </c>
      <c r="K100" s="24" t="s">
        <v>37</v>
      </c>
    </row>
    <row r="101" spans="1:11" x14ac:dyDescent="0.25">
      <c r="A101" t="s">
        <v>4</v>
      </c>
      <c r="B101">
        <v>55699</v>
      </c>
      <c r="C101" s="3">
        <f t="shared" ref="C101:C109" si="58">B101/$D$1</f>
        <v>1591.4</v>
      </c>
      <c r="D101" s="5">
        <f t="shared" ref="D101:D109" si="59">C101*48/$D$2</f>
        <v>795.70000000000016</v>
      </c>
      <c r="E101" s="7">
        <v>174</v>
      </c>
      <c r="F101" s="8">
        <v>0</v>
      </c>
      <c r="G101" s="3">
        <f t="shared" ref="G101:G110" si="60">(F101+E101)-D101</f>
        <v>-621.70000000000016</v>
      </c>
      <c r="H101" s="3">
        <f t="shared" ref="H101:H109" si="61">G101*0.8</f>
        <v>-497.36000000000013</v>
      </c>
      <c r="I101" s="3">
        <f t="shared" ref="I101:I109" si="62">H101*0.1</f>
        <v>-49.736000000000018</v>
      </c>
      <c r="J101" s="3">
        <f t="shared" ref="J101:J109" si="63">IF(G101 &gt; 0,"",G101/30)</f>
        <v>-20.72333333333334</v>
      </c>
      <c r="K101" s="12">
        <f t="shared" ref="K101:K109" si="64">IF(I101 &gt; 0,"",I101/30)</f>
        <v>-1.6578666666666673</v>
      </c>
    </row>
    <row r="102" spans="1:11" x14ac:dyDescent="0.25">
      <c r="A102" t="s">
        <v>5</v>
      </c>
      <c r="B102">
        <v>51836</v>
      </c>
      <c r="C102" s="3">
        <f t="shared" si="58"/>
        <v>1481.0285714285715</v>
      </c>
      <c r="D102" s="5">
        <f t="shared" si="59"/>
        <v>740.51428571428585</v>
      </c>
      <c r="E102" s="7">
        <v>129</v>
      </c>
      <c r="F102" s="8">
        <v>0</v>
      </c>
      <c r="G102" s="3">
        <f t="shared" si="60"/>
        <v>-611.51428571428585</v>
      </c>
      <c r="H102" s="3">
        <f t="shared" si="61"/>
        <v>-489.21142857142871</v>
      </c>
      <c r="I102" s="3">
        <f t="shared" si="62"/>
        <v>-48.921142857142875</v>
      </c>
      <c r="J102" s="3">
        <f t="shared" si="63"/>
        <v>-20.383809523809528</v>
      </c>
      <c r="K102" s="12">
        <f t="shared" si="64"/>
        <v>-1.6307047619047625</v>
      </c>
    </row>
    <row r="103" spans="1:11" x14ac:dyDescent="0.25">
      <c r="A103" t="s">
        <v>6</v>
      </c>
      <c r="B103">
        <v>204021</v>
      </c>
      <c r="C103" s="3">
        <f t="shared" si="58"/>
        <v>5829.1714285714288</v>
      </c>
      <c r="D103" s="5">
        <f t="shared" si="59"/>
        <v>2914.5857142857144</v>
      </c>
      <c r="E103" s="7">
        <v>449</v>
      </c>
      <c r="F103" s="8">
        <v>35</v>
      </c>
      <c r="G103" s="3">
        <f t="shared" si="60"/>
        <v>-2430.5857142857144</v>
      </c>
      <c r="H103" s="3">
        <f t="shared" si="61"/>
        <v>-1944.4685714285715</v>
      </c>
      <c r="I103" s="3">
        <f t="shared" si="62"/>
        <v>-194.44685714285717</v>
      </c>
      <c r="J103" s="3">
        <f t="shared" si="63"/>
        <v>-81.019523809523818</v>
      </c>
      <c r="K103" s="12">
        <f t="shared" si="64"/>
        <v>-6.4815619047619055</v>
      </c>
    </row>
    <row r="104" spans="1:11" x14ac:dyDescent="0.25">
      <c r="A104" t="s">
        <v>7</v>
      </c>
      <c r="B104">
        <v>271621</v>
      </c>
      <c r="C104" s="3">
        <f t="shared" si="58"/>
        <v>7760.6</v>
      </c>
      <c r="D104" s="5">
        <f t="shared" si="59"/>
        <v>3880.3000000000006</v>
      </c>
      <c r="E104" s="7">
        <v>815</v>
      </c>
      <c r="F104" s="8">
        <v>0</v>
      </c>
      <c r="G104" s="3">
        <f t="shared" si="60"/>
        <v>-3065.3000000000006</v>
      </c>
      <c r="H104" s="3">
        <f t="shared" si="61"/>
        <v>-2452.2400000000007</v>
      </c>
      <c r="I104" s="3">
        <f t="shared" si="62"/>
        <v>-245.22400000000007</v>
      </c>
      <c r="J104" s="3">
        <f t="shared" si="63"/>
        <v>-102.17666666666669</v>
      </c>
      <c r="K104" s="12">
        <f t="shared" si="64"/>
        <v>-8.1741333333333355</v>
      </c>
    </row>
    <row r="105" spans="1:11" x14ac:dyDescent="0.25">
      <c r="A105" t="s">
        <v>8</v>
      </c>
      <c r="B105">
        <v>57171</v>
      </c>
      <c r="C105" s="3">
        <f t="shared" si="58"/>
        <v>1633.4571428571428</v>
      </c>
      <c r="D105" s="5">
        <f t="shared" si="59"/>
        <v>816.7285714285714</v>
      </c>
      <c r="E105" s="7">
        <v>184</v>
      </c>
      <c r="F105" s="8">
        <v>26</v>
      </c>
      <c r="G105" s="3">
        <f t="shared" si="60"/>
        <v>-606.7285714285714</v>
      </c>
      <c r="H105" s="3">
        <f t="shared" si="61"/>
        <v>-485.38285714285712</v>
      </c>
      <c r="I105" s="3">
        <f t="shared" si="62"/>
        <v>-48.538285714285713</v>
      </c>
      <c r="J105" s="3">
        <f t="shared" si="63"/>
        <v>-20.224285714285713</v>
      </c>
      <c r="K105" s="12">
        <f t="shared" si="64"/>
        <v>-1.6179428571428571</v>
      </c>
    </row>
    <row r="106" spans="1:11" x14ac:dyDescent="0.25">
      <c r="A106" t="s">
        <v>9</v>
      </c>
      <c r="B106">
        <v>13856</v>
      </c>
      <c r="C106" s="3">
        <f t="shared" si="58"/>
        <v>395.8857142857143</v>
      </c>
      <c r="D106" s="5">
        <f t="shared" si="59"/>
        <v>197.94285714285715</v>
      </c>
      <c r="E106" s="7">
        <v>68</v>
      </c>
      <c r="F106" s="8">
        <v>0</v>
      </c>
      <c r="G106" s="3">
        <f t="shared" si="60"/>
        <v>-129.94285714285715</v>
      </c>
      <c r="H106" s="3">
        <f t="shared" si="61"/>
        <v>-103.95428571428573</v>
      </c>
      <c r="I106" s="3">
        <f t="shared" si="62"/>
        <v>-10.395428571428575</v>
      </c>
      <c r="J106" s="3">
        <f t="shared" si="63"/>
        <v>-4.3314285714285718</v>
      </c>
      <c r="K106" s="12">
        <f t="shared" si="64"/>
        <v>-0.34651428571428583</v>
      </c>
    </row>
    <row r="107" spans="1:11" x14ac:dyDescent="0.25">
      <c r="A107" t="s">
        <v>10</v>
      </c>
      <c r="B107">
        <v>84657</v>
      </c>
      <c r="C107" s="3">
        <f t="shared" si="58"/>
        <v>2418.7714285714287</v>
      </c>
      <c r="D107" s="5">
        <f t="shared" si="59"/>
        <v>1209.3857142857144</v>
      </c>
      <c r="E107" s="7">
        <v>334</v>
      </c>
      <c r="F107" s="8">
        <v>0</v>
      </c>
      <c r="G107" s="3">
        <f t="shared" si="60"/>
        <v>-875.38571428571436</v>
      </c>
      <c r="H107" s="3">
        <f t="shared" si="61"/>
        <v>-700.30857142857155</v>
      </c>
      <c r="I107" s="3">
        <f t="shared" si="62"/>
        <v>-70.030857142857158</v>
      </c>
      <c r="J107" s="3">
        <f t="shared" si="63"/>
        <v>-29.179523809523811</v>
      </c>
      <c r="K107" s="12">
        <f t="shared" si="64"/>
        <v>-2.3343619047619053</v>
      </c>
    </row>
    <row r="108" spans="1:11" x14ac:dyDescent="0.25">
      <c r="A108" t="s">
        <v>11</v>
      </c>
      <c r="B108">
        <v>290150</v>
      </c>
      <c r="C108" s="3">
        <f t="shared" si="58"/>
        <v>8290</v>
      </c>
      <c r="D108" s="5">
        <f t="shared" si="59"/>
        <v>4145</v>
      </c>
      <c r="E108" s="7">
        <v>513</v>
      </c>
      <c r="F108" s="8">
        <v>0</v>
      </c>
      <c r="G108" s="3">
        <f t="shared" si="60"/>
        <v>-3632</v>
      </c>
      <c r="H108" s="3">
        <f t="shared" si="61"/>
        <v>-2905.6000000000004</v>
      </c>
      <c r="I108" s="3">
        <f t="shared" si="62"/>
        <v>-290.56000000000006</v>
      </c>
      <c r="J108" s="3">
        <f t="shared" si="63"/>
        <v>-121.06666666666666</v>
      </c>
      <c r="K108" s="12">
        <f t="shared" si="64"/>
        <v>-9.685333333333336</v>
      </c>
    </row>
    <row r="109" spans="1:11" x14ac:dyDescent="0.25">
      <c r="A109" t="s">
        <v>12</v>
      </c>
      <c r="B109">
        <v>52371</v>
      </c>
      <c r="C109" s="3">
        <f t="shared" si="58"/>
        <v>1496.3142857142857</v>
      </c>
      <c r="D109" s="5">
        <f t="shared" si="59"/>
        <v>748.15714285714284</v>
      </c>
      <c r="E109" s="7">
        <v>199</v>
      </c>
      <c r="F109" s="8">
        <v>25</v>
      </c>
      <c r="G109" s="3">
        <f t="shared" si="60"/>
        <v>-524.15714285714284</v>
      </c>
      <c r="H109" s="3">
        <f t="shared" si="61"/>
        <v>-419.3257142857143</v>
      </c>
      <c r="I109" s="3">
        <f t="shared" si="62"/>
        <v>-41.932571428571435</v>
      </c>
      <c r="J109" s="3">
        <f t="shared" si="63"/>
        <v>-17.47190476190476</v>
      </c>
      <c r="K109" s="12">
        <f t="shared" si="64"/>
        <v>-1.3977523809523811</v>
      </c>
    </row>
    <row r="110" spans="1:11" x14ac:dyDescent="0.25">
      <c r="D110" s="3">
        <f>SUM(D101:D109)</f>
        <v>15448.314285714287</v>
      </c>
      <c r="E110" s="3">
        <f>SUM(E101:E109)</f>
        <v>2865</v>
      </c>
      <c r="F110" s="3">
        <f>SUM(F101:F109)</f>
        <v>86</v>
      </c>
      <c r="G110" s="3">
        <f t="shared" si="60"/>
        <v>-12497.314285714287</v>
      </c>
      <c r="H110" s="3"/>
      <c r="I110" s="3"/>
      <c r="J110" s="3"/>
    </row>
    <row r="111" spans="1:11" ht="15.75" x14ac:dyDescent="0.25">
      <c r="A111" s="35" t="s">
        <v>23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</row>
    <row r="112" spans="1:11" ht="45" x14ac:dyDescent="0.25">
      <c r="A112" s="1" t="s">
        <v>0</v>
      </c>
      <c r="B112" s="1" t="s">
        <v>25</v>
      </c>
      <c r="C112" s="2" t="s">
        <v>1</v>
      </c>
      <c r="D112" s="4" t="s">
        <v>13</v>
      </c>
      <c r="E112" s="6" t="s">
        <v>24</v>
      </c>
      <c r="F112" s="6" t="s">
        <v>2</v>
      </c>
      <c r="G112" s="1" t="s">
        <v>3</v>
      </c>
      <c r="H112" s="1" t="s">
        <v>28</v>
      </c>
      <c r="I112" s="1" t="s">
        <v>29</v>
      </c>
      <c r="J112" s="11" t="s">
        <v>38</v>
      </c>
      <c r="K112" s="24" t="s">
        <v>37</v>
      </c>
    </row>
    <row r="113" spans="1:11" x14ac:dyDescent="0.25">
      <c r="A113" t="s">
        <v>4</v>
      </c>
      <c r="B113">
        <v>55699</v>
      </c>
      <c r="C113" s="3">
        <f t="shared" ref="C113:C121" si="65">B113/$D$1</f>
        <v>1591.4</v>
      </c>
      <c r="D113" s="5">
        <f t="shared" ref="D113:D121" si="66">C113*48/$D$2</f>
        <v>795.70000000000016</v>
      </c>
      <c r="E113" s="7">
        <v>107</v>
      </c>
      <c r="F113" s="8">
        <v>0</v>
      </c>
      <c r="G113" s="3">
        <f t="shared" ref="G113:G122" si="67">(F113+E113)-D113</f>
        <v>-688.70000000000016</v>
      </c>
      <c r="H113" s="3">
        <f t="shared" ref="H113:H121" si="68">G113*0.8</f>
        <v>-550.96000000000015</v>
      </c>
      <c r="I113" s="3">
        <f t="shared" ref="I113:I121" si="69">H113*0.1</f>
        <v>-55.096000000000018</v>
      </c>
      <c r="J113" s="3">
        <f t="shared" ref="J113:J121" si="70">IF(G113 &gt; 0,"",G113/30)</f>
        <v>-22.956666666666671</v>
      </c>
      <c r="K113" s="12">
        <f t="shared" ref="K113:K121" si="71">IF(I113 &gt; 0,"",I113/30)</f>
        <v>-1.836533333333334</v>
      </c>
    </row>
    <row r="114" spans="1:11" x14ac:dyDescent="0.25">
      <c r="A114" t="s">
        <v>5</v>
      </c>
      <c r="B114">
        <v>51836</v>
      </c>
      <c r="C114" s="3">
        <f t="shared" si="65"/>
        <v>1481.0285714285715</v>
      </c>
      <c r="D114" s="5">
        <f t="shared" si="66"/>
        <v>740.51428571428585</v>
      </c>
      <c r="E114" s="7">
        <v>283</v>
      </c>
      <c r="F114" s="8">
        <v>0</v>
      </c>
      <c r="G114" s="3">
        <f t="shared" si="67"/>
        <v>-457.51428571428585</v>
      </c>
      <c r="H114" s="3">
        <f t="shared" si="68"/>
        <v>-366.01142857142872</v>
      </c>
      <c r="I114" s="3">
        <f t="shared" si="69"/>
        <v>-36.601142857142875</v>
      </c>
      <c r="J114" s="3">
        <f t="shared" si="70"/>
        <v>-15.250476190476196</v>
      </c>
      <c r="K114" s="12">
        <f t="shared" si="71"/>
        <v>-1.2200380952380958</v>
      </c>
    </row>
    <row r="115" spans="1:11" x14ac:dyDescent="0.25">
      <c r="A115" t="s">
        <v>6</v>
      </c>
      <c r="B115">
        <v>204021</v>
      </c>
      <c r="C115" s="3">
        <f t="shared" si="65"/>
        <v>5829.1714285714288</v>
      </c>
      <c r="D115" s="5">
        <f t="shared" si="66"/>
        <v>2914.5857142857144</v>
      </c>
      <c r="E115" s="7">
        <v>848</v>
      </c>
      <c r="F115" s="8">
        <v>0</v>
      </c>
      <c r="G115" s="3">
        <f t="shared" si="67"/>
        <v>-2066.5857142857144</v>
      </c>
      <c r="H115" s="3">
        <f t="shared" si="68"/>
        <v>-1653.2685714285717</v>
      </c>
      <c r="I115" s="3">
        <f t="shared" si="69"/>
        <v>-165.32685714285719</v>
      </c>
      <c r="J115" s="3">
        <f t="shared" si="70"/>
        <v>-68.886190476190478</v>
      </c>
      <c r="K115" s="12">
        <f t="shared" si="71"/>
        <v>-5.5108952380952401</v>
      </c>
    </row>
    <row r="116" spans="1:11" x14ac:dyDescent="0.25">
      <c r="A116" t="s">
        <v>7</v>
      </c>
      <c r="B116">
        <v>271621</v>
      </c>
      <c r="C116" s="3">
        <f t="shared" si="65"/>
        <v>7760.6</v>
      </c>
      <c r="D116" s="5">
        <f t="shared" si="66"/>
        <v>3880.3000000000006</v>
      </c>
      <c r="E116" s="7">
        <v>1103</v>
      </c>
      <c r="F116" s="8">
        <v>0</v>
      </c>
      <c r="G116" s="3">
        <f t="shared" si="67"/>
        <v>-2777.3000000000006</v>
      </c>
      <c r="H116" s="3">
        <f t="shared" si="68"/>
        <v>-2221.8400000000006</v>
      </c>
      <c r="I116" s="3">
        <f t="shared" si="69"/>
        <v>-222.18400000000008</v>
      </c>
      <c r="J116" s="3">
        <f t="shared" si="70"/>
        <v>-92.576666666666682</v>
      </c>
      <c r="K116" s="12">
        <f t="shared" si="71"/>
        <v>-7.4061333333333357</v>
      </c>
    </row>
    <row r="117" spans="1:11" x14ac:dyDescent="0.25">
      <c r="A117" t="s">
        <v>8</v>
      </c>
      <c r="B117">
        <v>57171</v>
      </c>
      <c r="C117" s="3">
        <f t="shared" si="65"/>
        <v>1633.4571428571428</v>
      </c>
      <c r="D117" s="5">
        <f t="shared" si="66"/>
        <v>816.7285714285714</v>
      </c>
      <c r="E117" s="7">
        <v>269</v>
      </c>
      <c r="F117" s="8">
        <v>0</v>
      </c>
      <c r="G117" s="3">
        <f t="shared" si="67"/>
        <v>-547.7285714285714</v>
      </c>
      <c r="H117" s="3">
        <f t="shared" si="68"/>
        <v>-438.18285714285713</v>
      </c>
      <c r="I117" s="3">
        <f t="shared" si="69"/>
        <v>-43.818285714285715</v>
      </c>
      <c r="J117" s="3">
        <f t="shared" si="70"/>
        <v>-18.257619047619048</v>
      </c>
      <c r="K117" s="12">
        <f t="shared" si="71"/>
        <v>-1.4606095238095238</v>
      </c>
    </row>
    <row r="118" spans="1:11" x14ac:dyDescent="0.25">
      <c r="A118" t="s">
        <v>9</v>
      </c>
      <c r="B118">
        <v>13856</v>
      </c>
      <c r="C118" s="3">
        <f t="shared" si="65"/>
        <v>395.8857142857143</v>
      </c>
      <c r="D118" s="5">
        <f t="shared" si="66"/>
        <v>197.94285714285715</v>
      </c>
      <c r="E118" s="7">
        <v>29</v>
      </c>
      <c r="F118" s="8">
        <v>0</v>
      </c>
      <c r="G118" s="3">
        <f t="shared" si="67"/>
        <v>-168.94285714285715</v>
      </c>
      <c r="H118" s="3">
        <f t="shared" si="68"/>
        <v>-135.15428571428572</v>
      </c>
      <c r="I118" s="3">
        <f t="shared" si="69"/>
        <v>-13.515428571428572</v>
      </c>
      <c r="J118" s="3">
        <f t="shared" si="70"/>
        <v>-5.6314285714285717</v>
      </c>
      <c r="K118" s="12">
        <f t="shared" si="71"/>
        <v>-0.45051428571428576</v>
      </c>
    </row>
    <row r="119" spans="1:11" x14ac:dyDescent="0.25">
      <c r="A119" t="s">
        <v>10</v>
      </c>
      <c r="B119">
        <v>84657</v>
      </c>
      <c r="C119" s="3">
        <f t="shared" si="65"/>
        <v>2418.7714285714287</v>
      </c>
      <c r="D119" s="5">
        <f t="shared" si="66"/>
        <v>1209.3857142857144</v>
      </c>
      <c r="E119" s="7">
        <v>333</v>
      </c>
      <c r="F119" s="8">
        <v>0</v>
      </c>
      <c r="G119" s="3">
        <f t="shared" si="67"/>
        <v>-876.38571428571436</v>
      </c>
      <c r="H119" s="3">
        <f t="shared" si="68"/>
        <v>-701.10857142857151</v>
      </c>
      <c r="I119" s="3">
        <f t="shared" si="69"/>
        <v>-70.110857142857157</v>
      </c>
      <c r="J119" s="3">
        <f t="shared" si="70"/>
        <v>-29.212857142857146</v>
      </c>
      <c r="K119" s="12">
        <f t="shared" si="71"/>
        <v>-2.3370285714285717</v>
      </c>
    </row>
    <row r="120" spans="1:11" x14ac:dyDescent="0.25">
      <c r="A120" t="s">
        <v>11</v>
      </c>
      <c r="B120">
        <v>290150</v>
      </c>
      <c r="C120" s="3">
        <f t="shared" si="65"/>
        <v>8290</v>
      </c>
      <c r="D120" s="5">
        <f t="shared" si="66"/>
        <v>4145</v>
      </c>
      <c r="E120" s="7">
        <v>700</v>
      </c>
      <c r="F120" s="8">
        <v>0</v>
      </c>
      <c r="G120" s="3">
        <f t="shared" si="67"/>
        <v>-3445</v>
      </c>
      <c r="H120" s="3">
        <f t="shared" si="68"/>
        <v>-2756</v>
      </c>
      <c r="I120" s="3">
        <f t="shared" si="69"/>
        <v>-275.60000000000002</v>
      </c>
      <c r="J120" s="3">
        <f t="shared" si="70"/>
        <v>-114.83333333333333</v>
      </c>
      <c r="K120" s="12">
        <f t="shared" si="71"/>
        <v>-9.1866666666666674</v>
      </c>
    </row>
    <row r="121" spans="1:11" x14ac:dyDescent="0.25">
      <c r="A121" t="s">
        <v>12</v>
      </c>
      <c r="B121">
        <v>52371</v>
      </c>
      <c r="C121" s="3">
        <f t="shared" si="65"/>
        <v>1496.3142857142857</v>
      </c>
      <c r="D121" s="5">
        <f t="shared" si="66"/>
        <v>748.15714285714284</v>
      </c>
      <c r="E121" s="7">
        <v>229</v>
      </c>
      <c r="F121" s="8">
        <v>0</v>
      </c>
      <c r="G121" s="3">
        <f t="shared" si="67"/>
        <v>-519.15714285714284</v>
      </c>
      <c r="H121" s="3">
        <f t="shared" si="68"/>
        <v>-415.3257142857143</v>
      </c>
      <c r="I121" s="3">
        <f t="shared" si="69"/>
        <v>-41.53257142857143</v>
      </c>
      <c r="J121" s="3">
        <f t="shared" si="70"/>
        <v>-17.305238095238096</v>
      </c>
      <c r="K121" s="12">
        <f t="shared" si="71"/>
        <v>-1.3844190476190477</v>
      </c>
    </row>
    <row r="122" spans="1:11" x14ac:dyDescent="0.25">
      <c r="D122" s="3">
        <f>SUM(D113:D121)</f>
        <v>15448.314285714287</v>
      </c>
      <c r="E122" s="3">
        <f>SUM(E113:E121)</f>
        <v>3901</v>
      </c>
      <c r="F122" s="3">
        <f>SUM(F113:F121)</f>
        <v>0</v>
      </c>
      <c r="G122" s="3">
        <f t="shared" si="67"/>
        <v>-11547.314285714287</v>
      </c>
      <c r="H122" s="3"/>
      <c r="I122" s="3"/>
      <c r="J122" s="3"/>
    </row>
    <row r="123" spans="1:11" ht="15.75" x14ac:dyDescent="0.25">
      <c r="A123" s="35" t="s">
        <v>36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</row>
    <row r="124" spans="1:11" ht="45" x14ac:dyDescent="0.25">
      <c r="A124" s="1" t="s">
        <v>0</v>
      </c>
      <c r="B124" s="1" t="s">
        <v>25</v>
      </c>
      <c r="C124" s="2" t="s">
        <v>1</v>
      </c>
      <c r="D124" s="4" t="s">
        <v>13</v>
      </c>
      <c r="E124" s="6" t="s">
        <v>24</v>
      </c>
      <c r="F124" s="6" t="s">
        <v>2</v>
      </c>
      <c r="G124" s="1" t="s">
        <v>3</v>
      </c>
      <c r="H124" s="1" t="s">
        <v>28</v>
      </c>
      <c r="I124" s="1" t="s">
        <v>29</v>
      </c>
      <c r="J124" s="11" t="s">
        <v>38</v>
      </c>
      <c r="K124" s="24" t="s">
        <v>37</v>
      </c>
    </row>
    <row r="125" spans="1:11" x14ac:dyDescent="0.25">
      <c r="A125" t="s">
        <v>4</v>
      </c>
      <c r="B125">
        <v>55699</v>
      </c>
      <c r="C125" s="3">
        <f t="shared" ref="C125:C133" si="72">B125/$D$1</f>
        <v>1591.4</v>
      </c>
      <c r="D125" s="5">
        <f>C125*128/$D$2</f>
        <v>2121.8666666666668</v>
      </c>
      <c r="E125" s="7">
        <v>626</v>
      </c>
      <c r="F125" s="8">
        <v>0</v>
      </c>
      <c r="G125" s="3">
        <f t="shared" ref="G125:G134" si="73">(F125+E125)-D125</f>
        <v>-1495.8666666666668</v>
      </c>
      <c r="H125" s="3">
        <f t="shared" ref="H125:H133" si="74">G125*0.8</f>
        <v>-1196.6933333333334</v>
      </c>
      <c r="I125" s="3">
        <f t="shared" ref="I125:I133" si="75">H125*0.1</f>
        <v>-119.66933333333334</v>
      </c>
      <c r="J125" s="3">
        <f t="shared" ref="J125:J133" si="76">IF(G125 &gt; 0,"",G125/30)</f>
        <v>-49.862222222222229</v>
      </c>
      <c r="K125" s="12">
        <f t="shared" ref="K125:K133" si="77">IF(I125 &gt; 0,"",I125/30)</f>
        <v>-3.988977777777778</v>
      </c>
    </row>
    <row r="126" spans="1:11" x14ac:dyDescent="0.25">
      <c r="A126" t="s">
        <v>5</v>
      </c>
      <c r="B126">
        <v>51836</v>
      </c>
      <c r="C126" s="3">
        <f t="shared" si="72"/>
        <v>1481.0285714285715</v>
      </c>
      <c r="D126" s="5">
        <f t="shared" ref="D126:D133" si="78">C126*128/$D$2</f>
        <v>1974.7047619047619</v>
      </c>
      <c r="E126" s="7">
        <v>631</v>
      </c>
      <c r="F126" s="8">
        <v>0</v>
      </c>
      <c r="G126" s="3">
        <f t="shared" si="73"/>
        <v>-1343.7047619047619</v>
      </c>
      <c r="H126" s="3">
        <f t="shared" si="74"/>
        <v>-1074.9638095238095</v>
      </c>
      <c r="I126" s="3">
        <f t="shared" si="75"/>
        <v>-107.49638095238095</v>
      </c>
      <c r="J126" s="3">
        <f t="shared" si="76"/>
        <v>-44.79015873015873</v>
      </c>
      <c r="K126" s="12">
        <f t="shared" si="77"/>
        <v>-3.5832126984126984</v>
      </c>
    </row>
    <row r="127" spans="1:11" x14ac:dyDescent="0.25">
      <c r="A127" t="s">
        <v>6</v>
      </c>
      <c r="B127">
        <v>204021</v>
      </c>
      <c r="C127" s="3">
        <f t="shared" si="72"/>
        <v>5829.1714285714288</v>
      </c>
      <c r="D127" s="5">
        <f t="shared" si="78"/>
        <v>7772.2285714285717</v>
      </c>
      <c r="E127" s="7">
        <v>2165</v>
      </c>
      <c r="F127" s="8">
        <v>27</v>
      </c>
      <c r="G127" s="3">
        <f t="shared" si="73"/>
        <v>-5580.2285714285717</v>
      </c>
      <c r="H127" s="3">
        <f t="shared" si="74"/>
        <v>-4464.1828571428578</v>
      </c>
      <c r="I127" s="3">
        <f t="shared" si="75"/>
        <v>-446.41828571428579</v>
      </c>
      <c r="J127" s="3">
        <f t="shared" si="76"/>
        <v>-186.00761904761904</v>
      </c>
      <c r="K127" s="12">
        <f t="shared" si="77"/>
        <v>-14.880609523809527</v>
      </c>
    </row>
    <row r="128" spans="1:11" x14ac:dyDescent="0.25">
      <c r="A128" t="s">
        <v>7</v>
      </c>
      <c r="B128">
        <v>271621</v>
      </c>
      <c r="C128" s="3">
        <f t="shared" si="72"/>
        <v>7760.6</v>
      </c>
      <c r="D128" s="5">
        <f t="shared" si="78"/>
        <v>10347.466666666667</v>
      </c>
      <c r="E128" s="7">
        <v>3112</v>
      </c>
      <c r="F128" s="8">
        <v>21</v>
      </c>
      <c r="G128" s="3">
        <f t="shared" si="73"/>
        <v>-7214.4666666666672</v>
      </c>
      <c r="H128" s="3">
        <f t="shared" si="74"/>
        <v>-5771.5733333333337</v>
      </c>
      <c r="I128" s="3">
        <f t="shared" si="75"/>
        <v>-577.15733333333344</v>
      </c>
      <c r="J128" s="3">
        <f t="shared" si="76"/>
        <v>-240.48222222222225</v>
      </c>
      <c r="K128" s="12">
        <f t="shared" si="77"/>
        <v>-19.238577777777781</v>
      </c>
    </row>
    <row r="129" spans="1:11" x14ac:dyDescent="0.25">
      <c r="A129" t="s">
        <v>8</v>
      </c>
      <c r="B129">
        <v>57171</v>
      </c>
      <c r="C129" s="3">
        <f t="shared" si="72"/>
        <v>1633.4571428571428</v>
      </c>
      <c r="D129" s="5">
        <f t="shared" si="78"/>
        <v>2177.9428571428571</v>
      </c>
      <c r="E129" s="7">
        <v>695</v>
      </c>
      <c r="F129" s="8">
        <v>0</v>
      </c>
      <c r="G129" s="3">
        <f t="shared" si="73"/>
        <v>-1482.9428571428571</v>
      </c>
      <c r="H129" s="3">
        <f t="shared" si="74"/>
        <v>-1186.3542857142857</v>
      </c>
      <c r="I129" s="3">
        <f t="shared" si="75"/>
        <v>-118.63542857142858</v>
      </c>
      <c r="J129" s="3">
        <f t="shared" si="76"/>
        <v>-49.431428571428569</v>
      </c>
      <c r="K129" s="12">
        <f t="shared" si="77"/>
        <v>-3.9545142857142861</v>
      </c>
    </row>
    <row r="130" spans="1:11" x14ac:dyDescent="0.25">
      <c r="A130" t="s">
        <v>9</v>
      </c>
      <c r="B130">
        <v>13856</v>
      </c>
      <c r="C130" s="3">
        <f t="shared" si="72"/>
        <v>395.8857142857143</v>
      </c>
      <c r="D130" s="5">
        <f t="shared" si="78"/>
        <v>527.84761904761911</v>
      </c>
      <c r="E130" s="7">
        <v>160</v>
      </c>
      <c r="F130" s="8">
        <v>23</v>
      </c>
      <c r="G130" s="3">
        <f t="shared" si="73"/>
        <v>-344.84761904761911</v>
      </c>
      <c r="H130" s="3">
        <f t="shared" si="74"/>
        <v>-275.87809523809528</v>
      </c>
      <c r="I130" s="3">
        <f t="shared" si="75"/>
        <v>-27.587809523809529</v>
      </c>
      <c r="J130" s="3">
        <f t="shared" si="76"/>
        <v>-11.494920634920637</v>
      </c>
      <c r="K130" s="12">
        <f t="shared" si="77"/>
        <v>-0.91959365079365096</v>
      </c>
    </row>
    <row r="131" spans="1:11" x14ac:dyDescent="0.25">
      <c r="A131" t="s">
        <v>10</v>
      </c>
      <c r="B131">
        <v>84657</v>
      </c>
      <c r="C131" s="3">
        <f t="shared" si="72"/>
        <v>2418.7714285714287</v>
      </c>
      <c r="D131" s="5">
        <f t="shared" si="78"/>
        <v>3225.0285714285715</v>
      </c>
      <c r="E131" s="7">
        <v>1218</v>
      </c>
      <c r="F131" s="8">
        <v>0</v>
      </c>
      <c r="G131" s="3">
        <f t="shared" si="73"/>
        <v>-2007.0285714285715</v>
      </c>
      <c r="H131" s="3">
        <f t="shared" si="74"/>
        <v>-1605.6228571428574</v>
      </c>
      <c r="I131" s="3">
        <f t="shared" si="75"/>
        <v>-160.56228571428574</v>
      </c>
      <c r="J131" s="3">
        <f t="shared" si="76"/>
        <v>-66.900952380952376</v>
      </c>
      <c r="K131" s="12">
        <f t="shared" si="77"/>
        <v>-5.3520761904761915</v>
      </c>
    </row>
    <row r="132" spans="1:11" x14ac:dyDescent="0.25">
      <c r="A132" t="s">
        <v>11</v>
      </c>
      <c r="B132">
        <v>290150</v>
      </c>
      <c r="C132" s="3">
        <f t="shared" si="72"/>
        <v>8290</v>
      </c>
      <c r="D132" s="5">
        <f t="shared" si="78"/>
        <v>11053.333333333334</v>
      </c>
      <c r="E132" s="7">
        <v>2357</v>
      </c>
      <c r="F132" s="8">
        <v>0</v>
      </c>
      <c r="G132" s="3">
        <f t="shared" si="73"/>
        <v>-8696.3333333333339</v>
      </c>
      <c r="H132" s="3">
        <f t="shared" si="74"/>
        <v>-6957.0666666666675</v>
      </c>
      <c r="I132" s="3">
        <f t="shared" si="75"/>
        <v>-695.70666666666682</v>
      </c>
      <c r="J132" s="3">
        <f t="shared" si="76"/>
        <v>-289.87777777777779</v>
      </c>
      <c r="K132" s="12">
        <f t="shared" si="77"/>
        <v>-23.190222222222229</v>
      </c>
    </row>
    <row r="133" spans="1:11" x14ac:dyDescent="0.25">
      <c r="A133" t="s">
        <v>12</v>
      </c>
      <c r="B133">
        <v>52371</v>
      </c>
      <c r="C133" s="3">
        <f t="shared" si="72"/>
        <v>1496.3142857142857</v>
      </c>
      <c r="D133" s="5">
        <f t="shared" si="78"/>
        <v>1995.0857142857142</v>
      </c>
      <c r="E133" s="7">
        <v>685</v>
      </c>
      <c r="F133" s="8">
        <v>0</v>
      </c>
      <c r="G133" s="3">
        <f t="shared" si="73"/>
        <v>-1310.0857142857142</v>
      </c>
      <c r="H133" s="3">
        <f t="shared" si="74"/>
        <v>-1048.0685714285714</v>
      </c>
      <c r="I133" s="3">
        <f t="shared" si="75"/>
        <v>-104.80685714285715</v>
      </c>
      <c r="J133" s="3">
        <f t="shared" si="76"/>
        <v>-43.669523809523803</v>
      </c>
      <c r="K133" s="12">
        <f t="shared" si="77"/>
        <v>-3.4935619047619051</v>
      </c>
    </row>
    <row r="134" spans="1:11" x14ac:dyDescent="0.25">
      <c r="D134" s="3">
        <f>SUM(D125:D133)</f>
        <v>41195.504761904762</v>
      </c>
      <c r="E134" s="3">
        <f>SUM(E125:E133)</f>
        <v>11649</v>
      </c>
      <c r="F134" s="3">
        <f>SUM(F125:F133)</f>
        <v>71</v>
      </c>
      <c r="G134" s="3">
        <f t="shared" si="73"/>
        <v>-29475.504761904762</v>
      </c>
      <c r="H134" s="3"/>
      <c r="I134" s="3"/>
      <c r="J134" s="3"/>
    </row>
  </sheetData>
  <mergeCells count="16">
    <mergeCell ref="A123:K123"/>
    <mergeCell ref="A3:K3"/>
    <mergeCell ref="A15:K15"/>
    <mergeCell ref="A27:K27"/>
    <mergeCell ref="A39:K39"/>
    <mergeCell ref="A51:K51"/>
    <mergeCell ref="A63:K63"/>
    <mergeCell ref="A75:K75"/>
    <mergeCell ref="A87:K87"/>
    <mergeCell ref="A99:K99"/>
    <mergeCell ref="A111:K111"/>
    <mergeCell ref="M1:Q1"/>
    <mergeCell ref="B1:C1"/>
    <mergeCell ref="B2:C2"/>
    <mergeCell ref="G1:I1"/>
    <mergeCell ref="G2:I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AAF1-0389-4F53-A631-96912EBDCCF5}">
  <dimension ref="A1:Q135"/>
  <sheetViews>
    <sheetView topLeftCell="A105" workbookViewId="0">
      <selection activeCell="A4" sqref="A4:K134"/>
    </sheetView>
  </sheetViews>
  <sheetFormatPr baseColWidth="10" defaultRowHeight="15" x14ac:dyDescent="0.25"/>
  <cols>
    <col min="1" max="1" width="15.85546875" bestFit="1" customWidth="1"/>
    <col min="2" max="2" width="13.85546875" customWidth="1"/>
    <col min="3" max="3" width="13.42578125" customWidth="1"/>
    <col min="6" max="6" width="12.28515625" bestFit="1" customWidth="1"/>
    <col min="7" max="7" width="10" customWidth="1"/>
    <col min="8" max="8" width="11.42578125" bestFit="1" customWidth="1"/>
    <col min="9" max="9" width="13.5703125" bestFit="1" customWidth="1"/>
    <col min="10" max="10" width="15" bestFit="1" customWidth="1"/>
    <col min="11" max="11" width="15.42578125" style="3" bestFit="1" customWidth="1"/>
    <col min="13" max="13" width="22.140625" style="10" bestFit="1" customWidth="1"/>
    <col min="14" max="15" width="17" style="10" customWidth="1"/>
    <col min="16" max="16" width="16.85546875" style="10" customWidth="1"/>
    <col min="17" max="17" width="14.28515625" customWidth="1"/>
  </cols>
  <sheetData>
    <row r="1" spans="1:17" ht="18.75" x14ac:dyDescent="0.3">
      <c r="B1" s="33" t="s">
        <v>1</v>
      </c>
      <c r="C1" s="33"/>
      <c r="D1" s="13">
        <v>35</v>
      </c>
      <c r="G1" s="33" t="s">
        <v>39</v>
      </c>
      <c r="H1" s="33"/>
      <c r="I1" s="33"/>
      <c r="J1" s="25">
        <f>SUM(E15,E27,E39,E51,E63,E75,E87,E99,E111,E123,E135)</f>
        <v>73601</v>
      </c>
      <c r="M1" s="32" t="s">
        <v>4</v>
      </c>
      <c r="N1" s="32"/>
      <c r="O1" s="32"/>
      <c r="P1" s="32"/>
      <c r="Q1" s="32"/>
    </row>
    <row r="2" spans="1:17" ht="18.75" x14ac:dyDescent="0.3">
      <c r="B2" s="33" t="s">
        <v>35</v>
      </c>
      <c r="C2" s="33"/>
      <c r="D2" s="13">
        <v>96</v>
      </c>
      <c r="G2" s="33" t="s">
        <v>40</v>
      </c>
      <c r="H2" s="33"/>
      <c r="I2" s="33"/>
      <c r="J2" s="25">
        <f>SUM(F15,F27,F39,F51,F63,F75,F87,F99,F111,F123,F135)</f>
        <v>6921</v>
      </c>
      <c r="M2" s="9" t="s">
        <v>34</v>
      </c>
      <c r="N2" s="9" t="s">
        <v>26</v>
      </c>
      <c r="O2" s="9" t="s">
        <v>27</v>
      </c>
      <c r="Q2" s="9" t="s">
        <v>33</v>
      </c>
    </row>
    <row r="3" spans="1:17" ht="18.75" x14ac:dyDescent="0.3">
      <c r="B3" s="23"/>
      <c r="C3" s="23"/>
      <c r="D3" s="13"/>
      <c r="G3" s="33" t="s">
        <v>40</v>
      </c>
      <c r="H3" s="33"/>
      <c r="I3" s="33"/>
      <c r="J3" s="25">
        <f>SUM(D15,D27,D39,D51,D63,D75,D87,D99,D111,D123,D135)</f>
        <v>245254.38571428572</v>
      </c>
      <c r="M3" s="9"/>
      <c r="N3" s="9"/>
      <c r="O3" s="9"/>
      <c r="Q3" s="9"/>
    </row>
    <row r="4" spans="1:17" ht="24" x14ac:dyDescent="0.25">
      <c r="A4" s="35" t="s">
        <v>14</v>
      </c>
      <c r="B4" s="35"/>
      <c r="C4" s="35"/>
      <c r="D4" s="35"/>
      <c r="E4" s="35"/>
      <c r="F4" s="35"/>
      <c r="G4" s="35"/>
      <c r="H4" s="35"/>
      <c r="I4" s="35"/>
      <c r="J4" s="35"/>
      <c r="K4" s="35"/>
      <c r="M4" s="26" t="s">
        <v>30</v>
      </c>
      <c r="N4" s="27">
        <v>21864</v>
      </c>
      <c r="O4" s="27">
        <f>C6*96</f>
        <v>159047.3142857143</v>
      </c>
      <c r="P4" s="27">
        <f>O4-N4</f>
        <v>137183.3142857143</v>
      </c>
      <c r="Q4" s="27">
        <f>P4/120</f>
        <v>1143.1942857142858</v>
      </c>
    </row>
    <row r="5" spans="1:17" ht="45" x14ac:dyDescent="0.25">
      <c r="A5" s="1" t="s">
        <v>0</v>
      </c>
      <c r="B5" s="1" t="s">
        <v>25</v>
      </c>
      <c r="C5" s="2" t="s">
        <v>1</v>
      </c>
      <c r="D5" s="4" t="s">
        <v>13</v>
      </c>
      <c r="E5" s="6" t="s">
        <v>24</v>
      </c>
      <c r="F5" s="6" t="s">
        <v>2</v>
      </c>
      <c r="G5" s="1" t="s">
        <v>3</v>
      </c>
      <c r="H5" s="1" t="s">
        <v>28</v>
      </c>
      <c r="I5" s="1" t="s">
        <v>29</v>
      </c>
      <c r="J5" s="11" t="s">
        <v>38</v>
      </c>
      <c r="K5" s="24" t="s">
        <v>37</v>
      </c>
      <c r="M5" s="28" t="s">
        <v>31</v>
      </c>
      <c r="N5" s="29">
        <v>26264</v>
      </c>
      <c r="O5" s="29">
        <f>C6*96</f>
        <v>159047.3142857143</v>
      </c>
      <c r="P5" s="29">
        <f>O5-N5</f>
        <v>132783.3142857143</v>
      </c>
      <c r="Q5" s="29">
        <f t="shared" ref="Q5:Q6" si="0">P5/120</f>
        <v>1106.5276190476191</v>
      </c>
    </row>
    <row r="6" spans="1:17" ht="24" x14ac:dyDescent="0.25">
      <c r="A6" t="s">
        <v>4</v>
      </c>
      <c r="B6">
        <v>57986</v>
      </c>
      <c r="C6" s="3">
        <f t="shared" ref="C6:C14" si="1">B6/$D$1</f>
        <v>1656.7428571428572</v>
      </c>
      <c r="D6" s="5">
        <f>C6*96/$D$2</f>
        <v>1656.7428571428572</v>
      </c>
      <c r="E6" s="7">
        <v>238</v>
      </c>
      <c r="F6" s="8">
        <v>135</v>
      </c>
      <c r="G6" s="3">
        <f>(F6+E6)-D6</f>
        <v>-1283.7428571428572</v>
      </c>
      <c r="H6" s="3">
        <f>G6*0.8</f>
        <v>-1026.9942857142858</v>
      </c>
      <c r="I6" s="3">
        <f>H6*0.1</f>
        <v>-102.69942857142858</v>
      </c>
      <c r="J6" s="3">
        <f>IF(H6 &gt; 0,"",H6/30)</f>
        <v>-34.233142857142859</v>
      </c>
      <c r="K6" s="12">
        <f>IF(I6 &gt; 0,"",I6/30)</f>
        <v>-3.423314285714286</v>
      </c>
      <c r="M6" s="30" t="s">
        <v>32</v>
      </c>
      <c r="N6" s="31">
        <v>23328</v>
      </c>
      <c r="O6" s="31">
        <f>C6*96</f>
        <v>159047.3142857143</v>
      </c>
      <c r="P6" s="31">
        <f>O6-N6</f>
        <v>135719.3142857143</v>
      </c>
      <c r="Q6" s="31">
        <f t="shared" si="0"/>
        <v>1130.9942857142858</v>
      </c>
    </row>
    <row r="7" spans="1:17" ht="24" x14ac:dyDescent="0.4">
      <c r="A7" t="s">
        <v>5</v>
      </c>
      <c r="B7">
        <v>48108</v>
      </c>
      <c r="C7" s="3">
        <f t="shared" si="1"/>
        <v>1374.5142857142857</v>
      </c>
      <c r="D7" s="5">
        <f t="shared" ref="D7:D13" si="2">C7*96/$D$2</f>
        <v>1374.5142857142857</v>
      </c>
      <c r="E7" s="7">
        <v>517</v>
      </c>
      <c r="F7" s="8">
        <v>29</v>
      </c>
      <c r="G7" s="3">
        <f t="shared" ref="G7:G15" si="3">(F7+E7)-D7</f>
        <v>-828.51428571428573</v>
      </c>
      <c r="H7" s="3">
        <f t="shared" ref="H7:H14" si="4">G7*0.8</f>
        <v>-662.81142857142868</v>
      </c>
      <c r="I7" s="3">
        <f t="shared" ref="I7:I14" si="5">H7*0.1</f>
        <v>-66.281142857142868</v>
      </c>
      <c r="J7" s="3">
        <f t="shared" ref="J7:J14" si="6">IF(H7 &gt; 0,"",H7/30)</f>
        <v>-22.093714285714288</v>
      </c>
      <c r="K7" s="12">
        <f>IF(I7 &gt; 0,"",I7/30)</f>
        <v>-2.209371428571429</v>
      </c>
      <c r="N7" s="15"/>
      <c r="O7" s="16"/>
      <c r="Q7" s="15">
        <f>AVERAGE(Q4:Q6)</f>
        <v>1126.9053968253968</v>
      </c>
    </row>
    <row r="8" spans="1:17" ht="15.75" x14ac:dyDescent="0.25">
      <c r="A8" t="s">
        <v>6</v>
      </c>
      <c r="B8">
        <v>184613</v>
      </c>
      <c r="C8" s="3">
        <f t="shared" si="1"/>
        <v>5274.6571428571433</v>
      </c>
      <c r="D8" s="5">
        <f t="shared" si="2"/>
        <v>5274.6571428571433</v>
      </c>
      <c r="E8" s="7">
        <v>1807</v>
      </c>
      <c r="F8" s="8">
        <v>107</v>
      </c>
      <c r="G8" s="3">
        <f t="shared" si="3"/>
        <v>-3360.6571428571433</v>
      </c>
      <c r="H8" s="3">
        <f t="shared" si="4"/>
        <v>-2688.5257142857149</v>
      </c>
      <c r="I8" s="3">
        <f t="shared" si="5"/>
        <v>-268.85257142857148</v>
      </c>
      <c r="J8" s="3">
        <f t="shared" si="6"/>
        <v>-89.617523809523831</v>
      </c>
      <c r="K8" s="12">
        <f t="shared" ref="K8:K14" si="7">IF(I8 &gt; 0,"",I8/30)</f>
        <v>-8.9617523809523831</v>
      </c>
      <c r="Q8" s="17">
        <f>Q7*0.1</f>
        <v>112.69053968253968</v>
      </c>
    </row>
    <row r="9" spans="1:17" x14ac:dyDescent="0.25">
      <c r="A9" t="s">
        <v>7</v>
      </c>
      <c r="B9">
        <v>234107</v>
      </c>
      <c r="C9" s="3">
        <f t="shared" si="1"/>
        <v>6688.7714285714283</v>
      </c>
      <c r="D9" s="5">
        <f t="shared" si="2"/>
        <v>6688.7714285714283</v>
      </c>
      <c r="E9" s="7">
        <v>1937</v>
      </c>
      <c r="F9" s="8">
        <v>201</v>
      </c>
      <c r="G9" s="3">
        <f t="shared" si="3"/>
        <v>-4550.7714285714283</v>
      </c>
      <c r="H9" s="3">
        <f t="shared" si="4"/>
        <v>-3640.6171428571429</v>
      </c>
      <c r="I9" s="3">
        <f t="shared" si="5"/>
        <v>-364.06171428571429</v>
      </c>
      <c r="J9" s="3">
        <f t="shared" si="6"/>
        <v>-121.35390476190476</v>
      </c>
      <c r="K9" s="12">
        <f t="shared" si="7"/>
        <v>-12.135390476190477</v>
      </c>
    </row>
    <row r="10" spans="1:17" x14ac:dyDescent="0.25">
      <c r="A10" t="s">
        <v>8</v>
      </c>
      <c r="B10">
        <v>48684</v>
      </c>
      <c r="C10" s="3">
        <f t="shared" si="1"/>
        <v>1390.9714285714285</v>
      </c>
      <c r="D10" s="5">
        <f t="shared" si="2"/>
        <v>1390.9714285714283</v>
      </c>
      <c r="E10" s="7">
        <v>483</v>
      </c>
      <c r="F10" s="8">
        <v>35</v>
      </c>
      <c r="G10" s="3">
        <f t="shared" si="3"/>
        <v>-872.97142857142831</v>
      </c>
      <c r="H10" s="3">
        <f t="shared" si="4"/>
        <v>-698.37714285714264</v>
      </c>
      <c r="I10" s="3">
        <f t="shared" si="5"/>
        <v>-69.83771428571427</v>
      </c>
      <c r="J10" s="3">
        <f t="shared" si="6"/>
        <v>-23.279238095238089</v>
      </c>
      <c r="K10" s="12">
        <f t="shared" si="7"/>
        <v>-2.3279238095238091</v>
      </c>
    </row>
    <row r="11" spans="1:17" x14ac:dyDescent="0.25">
      <c r="A11" t="s">
        <v>9</v>
      </c>
      <c r="B11">
        <v>14471</v>
      </c>
      <c r="C11" s="3">
        <f t="shared" si="1"/>
        <v>413.45714285714286</v>
      </c>
      <c r="D11" s="5">
        <f t="shared" si="2"/>
        <v>413.45714285714286</v>
      </c>
      <c r="E11" s="7">
        <v>102</v>
      </c>
      <c r="F11" s="8">
        <v>67</v>
      </c>
      <c r="G11" s="3">
        <f t="shared" si="3"/>
        <v>-244.45714285714286</v>
      </c>
      <c r="H11" s="3">
        <f t="shared" si="4"/>
        <v>-195.56571428571431</v>
      </c>
      <c r="I11" s="3">
        <f t="shared" si="5"/>
        <v>-19.556571428571431</v>
      </c>
      <c r="J11" s="3">
        <f t="shared" si="6"/>
        <v>-6.5188571428571436</v>
      </c>
      <c r="K11" s="12">
        <f t="shared" si="7"/>
        <v>-0.6518857142857144</v>
      </c>
    </row>
    <row r="12" spans="1:17" x14ac:dyDescent="0.25">
      <c r="A12" t="s">
        <v>10</v>
      </c>
      <c r="B12">
        <v>80217</v>
      </c>
      <c r="C12" s="3">
        <f t="shared" si="1"/>
        <v>2291.9142857142856</v>
      </c>
      <c r="D12" s="5">
        <f t="shared" si="2"/>
        <v>2291.9142857142856</v>
      </c>
      <c r="E12" s="7">
        <v>806</v>
      </c>
      <c r="F12" s="8">
        <v>84</v>
      </c>
      <c r="G12" s="3">
        <f t="shared" si="3"/>
        <v>-1401.9142857142856</v>
      </c>
      <c r="H12" s="3">
        <f t="shared" si="4"/>
        <v>-1121.5314285714285</v>
      </c>
      <c r="I12" s="3">
        <f t="shared" si="5"/>
        <v>-112.15314285714285</v>
      </c>
      <c r="J12" s="3">
        <f t="shared" si="6"/>
        <v>-37.384380952380951</v>
      </c>
      <c r="K12" s="12">
        <f t="shared" si="7"/>
        <v>-3.7384380952380951</v>
      </c>
    </row>
    <row r="13" spans="1:17" x14ac:dyDescent="0.25">
      <c r="A13" t="s">
        <v>11</v>
      </c>
      <c r="B13">
        <v>293171</v>
      </c>
      <c r="C13" s="3">
        <f t="shared" si="1"/>
        <v>8376.3142857142866</v>
      </c>
      <c r="D13" s="5">
        <f t="shared" si="2"/>
        <v>8376.3142857142866</v>
      </c>
      <c r="E13" s="7">
        <v>1557</v>
      </c>
      <c r="F13" s="8">
        <v>48</v>
      </c>
      <c r="G13" s="3">
        <f t="shared" si="3"/>
        <v>-6771.3142857142866</v>
      </c>
      <c r="H13" s="3">
        <f t="shared" si="4"/>
        <v>-5417.0514285714298</v>
      </c>
      <c r="I13" s="3">
        <f t="shared" si="5"/>
        <v>-541.70514285714296</v>
      </c>
      <c r="J13" s="3">
        <f t="shared" si="6"/>
        <v>-180.56838095238101</v>
      </c>
      <c r="K13" s="12">
        <f t="shared" si="7"/>
        <v>-18.056838095238099</v>
      </c>
    </row>
    <row r="14" spans="1:17" x14ac:dyDescent="0.25">
      <c r="A14" t="s">
        <v>12</v>
      </c>
      <c r="B14">
        <v>48514</v>
      </c>
      <c r="C14" s="3">
        <f t="shared" si="1"/>
        <v>1386.1142857142856</v>
      </c>
      <c r="D14" s="5">
        <f>C14*96/$D$2</f>
        <v>1386.1142857142856</v>
      </c>
      <c r="E14" s="7">
        <v>421</v>
      </c>
      <c r="F14" s="8">
        <v>0</v>
      </c>
      <c r="G14" s="3">
        <f t="shared" si="3"/>
        <v>-965.11428571428564</v>
      </c>
      <c r="H14" s="3">
        <f t="shared" si="4"/>
        <v>-772.09142857142854</v>
      </c>
      <c r="I14" s="3">
        <f t="shared" si="5"/>
        <v>-77.209142857142865</v>
      </c>
      <c r="J14" s="3">
        <f t="shared" si="6"/>
        <v>-25.736380952380951</v>
      </c>
      <c r="K14" s="12">
        <f t="shared" si="7"/>
        <v>-2.5736380952380955</v>
      </c>
    </row>
    <row r="15" spans="1:17" x14ac:dyDescent="0.25">
      <c r="C15" s="3">
        <f>SUM(C6:C14)</f>
        <v>28853.457142857143</v>
      </c>
      <c r="D15" s="3">
        <f>SUM(D6:D14)</f>
        <v>28853.457142857143</v>
      </c>
      <c r="E15" s="3">
        <f>SUM(E6:E14)</f>
        <v>7868</v>
      </c>
      <c r="F15" s="3">
        <f>SUM(F6:F14)</f>
        <v>706</v>
      </c>
      <c r="G15" s="3">
        <f t="shared" si="3"/>
        <v>-20279.457142857143</v>
      </c>
      <c r="H15" s="3">
        <f>SUM(H6:H14)</f>
        <v>-16223.565714285716</v>
      </c>
      <c r="I15" s="3"/>
      <c r="J15" s="3"/>
    </row>
    <row r="16" spans="1:17" ht="15.75" x14ac:dyDescent="0.25">
      <c r="A16" s="35" t="s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spans="1:11" ht="45" x14ac:dyDescent="0.25">
      <c r="A17" s="1" t="s">
        <v>0</v>
      </c>
      <c r="B17" s="1" t="s">
        <v>25</v>
      </c>
      <c r="C17" s="2" t="s">
        <v>1</v>
      </c>
      <c r="D17" s="4" t="s">
        <v>13</v>
      </c>
      <c r="E17" s="6" t="s">
        <v>24</v>
      </c>
      <c r="F17" s="6" t="s">
        <v>2</v>
      </c>
      <c r="G17" s="1" t="s">
        <v>3</v>
      </c>
      <c r="H17" s="1" t="s">
        <v>28</v>
      </c>
      <c r="I17" s="1" t="s">
        <v>29</v>
      </c>
      <c r="J17" s="11" t="s">
        <v>38</v>
      </c>
      <c r="K17" s="24" t="s">
        <v>37</v>
      </c>
    </row>
    <row r="18" spans="1:11" x14ac:dyDescent="0.25">
      <c r="A18" t="s">
        <v>4</v>
      </c>
      <c r="B18">
        <v>57986</v>
      </c>
      <c r="C18" s="3">
        <f t="shared" ref="C18:C26" si="8">B18/$D$1</f>
        <v>1656.7428571428572</v>
      </c>
      <c r="D18" s="5">
        <f>C18*64/$D$2</f>
        <v>1104.4952380952382</v>
      </c>
      <c r="E18" s="7">
        <v>390</v>
      </c>
      <c r="F18" s="8">
        <v>117</v>
      </c>
      <c r="G18" s="3">
        <f>(F18+E18)-D18</f>
        <v>-597.49523809523816</v>
      </c>
      <c r="H18" s="3">
        <f>G18*0.8</f>
        <v>-477.99619047619058</v>
      </c>
      <c r="I18" s="3">
        <f>H18*0.1</f>
        <v>-47.799619047619061</v>
      </c>
      <c r="J18" s="3">
        <f t="shared" ref="J18:J26" si="9">IF(H18 &gt; 0,"",H18/30)</f>
        <v>-15.933206349206353</v>
      </c>
      <c r="K18" s="12">
        <f>IF(I18 &gt; 0,"",I18/30)</f>
        <v>-1.5933206349206352</v>
      </c>
    </row>
    <row r="19" spans="1:11" x14ac:dyDescent="0.25">
      <c r="A19" t="s">
        <v>5</v>
      </c>
      <c r="B19">
        <v>48108</v>
      </c>
      <c r="C19" s="3">
        <f t="shared" si="8"/>
        <v>1374.5142857142857</v>
      </c>
      <c r="D19" s="5">
        <f t="shared" ref="D19:D26" si="10">C19*64/$D$2</f>
        <v>916.34285714285716</v>
      </c>
      <c r="E19" s="7">
        <v>753</v>
      </c>
      <c r="F19" s="8">
        <v>3</v>
      </c>
      <c r="G19" s="3">
        <f t="shared" ref="G19:G27" si="11">(F19+E19)-D19</f>
        <v>-160.34285714285716</v>
      </c>
      <c r="H19" s="3">
        <f t="shared" ref="H19:H26" si="12">G19*0.8</f>
        <v>-128.27428571428572</v>
      </c>
      <c r="I19" s="3">
        <f>H19*0.1</f>
        <v>-12.827428571428573</v>
      </c>
      <c r="J19" s="3">
        <f t="shared" si="9"/>
        <v>-4.2758095238095244</v>
      </c>
      <c r="K19" s="12">
        <f>IF(I19 &gt; 0,"",I19/30)</f>
        <v>-0.42758095238095245</v>
      </c>
    </row>
    <row r="20" spans="1:11" x14ac:dyDescent="0.25">
      <c r="A20" t="s">
        <v>6</v>
      </c>
      <c r="B20">
        <v>184613</v>
      </c>
      <c r="C20" s="3">
        <f t="shared" si="8"/>
        <v>5274.6571428571433</v>
      </c>
      <c r="D20" s="5">
        <f t="shared" si="10"/>
        <v>3516.4380952380957</v>
      </c>
      <c r="E20" s="7">
        <v>2141</v>
      </c>
      <c r="F20" s="8">
        <v>195</v>
      </c>
      <c r="G20" s="3">
        <f t="shared" si="11"/>
        <v>-1180.4380952380957</v>
      </c>
      <c r="H20" s="3">
        <f t="shared" si="12"/>
        <v>-944.35047619047657</v>
      </c>
      <c r="I20" s="3">
        <f t="shared" ref="I20:I26" si="13">H20*0.1</f>
        <v>-94.435047619047666</v>
      </c>
      <c r="J20" s="3">
        <f t="shared" si="9"/>
        <v>-31.478349206349218</v>
      </c>
      <c r="K20" s="12">
        <f t="shared" ref="K20:K26" si="14">IF(I20 &gt; 0,"",I20/30)</f>
        <v>-3.1478349206349221</v>
      </c>
    </row>
    <row r="21" spans="1:11" x14ac:dyDescent="0.25">
      <c r="A21" t="s">
        <v>7</v>
      </c>
      <c r="B21">
        <v>234107</v>
      </c>
      <c r="C21" s="3">
        <f t="shared" si="8"/>
        <v>6688.7714285714283</v>
      </c>
      <c r="D21" s="5">
        <f t="shared" si="10"/>
        <v>4459.1809523809525</v>
      </c>
      <c r="E21" s="7">
        <v>3413</v>
      </c>
      <c r="F21" s="8">
        <v>183</v>
      </c>
      <c r="G21" s="3">
        <f t="shared" si="11"/>
        <v>-863.18095238095248</v>
      </c>
      <c r="H21" s="3">
        <f t="shared" si="12"/>
        <v>-690.54476190476203</v>
      </c>
      <c r="I21" s="3">
        <f t="shared" si="13"/>
        <v>-69.054476190476208</v>
      </c>
      <c r="J21" s="3">
        <f t="shared" si="9"/>
        <v>-23.018158730158735</v>
      </c>
      <c r="K21" s="12">
        <f t="shared" si="14"/>
        <v>-2.3018158730158738</v>
      </c>
    </row>
    <row r="22" spans="1:11" x14ac:dyDescent="0.25">
      <c r="A22" t="s">
        <v>8</v>
      </c>
      <c r="B22">
        <v>48684</v>
      </c>
      <c r="C22" s="3">
        <f t="shared" si="8"/>
        <v>1390.9714285714285</v>
      </c>
      <c r="D22" s="5">
        <f t="shared" si="10"/>
        <v>927.31428571428569</v>
      </c>
      <c r="E22" s="7">
        <v>720</v>
      </c>
      <c r="F22" s="8">
        <v>50</v>
      </c>
      <c r="G22" s="3">
        <f t="shared" si="11"/>
        <v>-157.31428571428569</v>
      </c>
      <c r="H22" s="3">
        <f t="shared" si="12"/>
        <v>-125.85142857142856</v>
      </c>
      <c r="I22" s="3">
        <f t="shared" si="13"/>
        <v>-12.585142857142856</v>
      </c>
      <c r="J22" s="3">
        <f t="shared" si="9"/>
        <v>-4.1950476190476182</v>
      </c>
      <c r="K22" s="12">
        <f t="shared" si="14"/>
        <v>-0.41950476190476188</v>
      </c>
    </row>
    <row r="23" spans="1:11" x14ac:dyDescent="0.25">
      <c r="A23" t="s">
        <v>9</v>
      </c>
      <c r="B23">
        <v>14471</v>
      </c>
      <c r="C23" s="3">
        <f t="shared" si="8"/>
        <v>413.45714285714286</v>
      </c>
      <c r="D23" s="5">
        <f t="shared" si="10"/>
        <v>275.63809523809522</v>
      </c>
      <c r="E23" s="7">
        <v>255</v>
      </c>
      <c r="F23" s="8">
        <v>73</v>
      </c>
      <c r="G23" s="3">
        <f t="shared" si="11"/>
        <v>52.361904761904782</v>
      </c>
      <c r="H23" s="3">
        <f t="shared" si="12"/>
        <v>41.88952380952383</v>
      </c>
      <c r="I23" s="3">
        <f t="shared" si="13"/>
        <v>4.188952380952383</v>
      </c>
      <c r="J23" s="3" t="str">
        <f t="shared" si="9"/>
        <v/>
      </c>
      <c r="K23" s="12" t="str">
        <f t="shared" si="14"/>
        <v/>
      </c>
    </row>
    <row r="24" spans="1:11" x14ac:dyDescent="0.25">
      <c r="A24" t="s">
        <v>10</v>
      </c>
      <c r="B24">
        <v>80217</v>
      </c>
      <c r="C24" s="3">
        <f t="shared" si="8"/>
        <v>2291.9142857142856</v>
      </c>
      <c r="D24" s="5">
        <f t="shared" si="10"/>
        <v>1527.9428571428571</v>
      </c>
      <c r="E24" s="7">
        <v>1229</v>
      </c>
      <c r="F24" s="8">
        <v>82</v>
      </c>
      <c r="G24" s="3">
        <f t="shared" si="11"/>
        <v>-216.94285714285706</v>
      </c>
      <c r="H24" s="3">
        <f t="shared" si="12"/>
        <v>-173.55428571428567</v>
      </c>
      <c r="I24" s="3">
        <f t="shared" si="13"/>
        <v>-17.355428571428568</v>
      </c>
      <c r="J24" s="3">
        <f t="shared" si="9"/>
        <v>-5.7851428571428558</v>
      </c>
      <c r="K24" s="12">
        <f t="shared" si="14"/>
        <v>-0.57851428571428565</v>
      </c>
    </row>
    <row r="25" spans="1:11" x14ac:dyDescent="0.25">
      <c r="A25" t="s">
        <v>11</v>
      </c>
      <c r="B25">
        <v>293171</v>
      </c>
      <c r="C25" s="3">
        <f t="shared" si="8"/>
        <v>8376.3142857142866</v>
      </c>
      <c r="D25" s="5">
        <f t="shared" si="10"/>
        <v>5584.2095238095244</v>
      </c>
      <c r="E25" s="7">
        <v>2152</v>
      </c>
      <c r="F25" s="8">
        <v>94</v>
      </c>
      <c r="G25" s="3">
        <f t="shared" si="11"/>
        <v>-3338.2095238095244</v>
      </c>
      <c r="H25" s="3">
        <f t="shared" si="12"/>
        <v>-2670.5676190476197</v>
      </c>
      <c r="I25" s="3">
        <f t="shared" si="13"/>
        <v>-267.05676190476197</v>
      </c>
      <c r="J25" s="3">
        <f t="shared" si="9"/>
        <v>-89.018920634920661</v>
      </c>
      <c r="K25" s="12">
        <f t="shared" si="14"/>
        <v>-8.9018920634920651</v>
      </c>
    </row>
    <row r="26" spans="1:11" x14ac:dyDescent="0.25">
      <c r="A26" t="s">
        <v>12</v>
      </c>
      <c r="B26">
        <v>48514</v>
      </c>
      <c r="C26" s="3">
        <f t="shared" si="8"/>
        <v>1386.1142857142856</v>
      </c>
      <c r="D26" s="5">
        <f t="shared" si="10"/>
        <v>924.07619047619039</v>
      </c>
      <c r="E26" s="7">
        <v>705</v>
      </c>
      <c r="F26" s="8">
        <v>47</v>
      </c>
      <c r="G26" s="3">
        <f t="shared" si="11"/>
        <v>-172.07619047619039</v>
      </c>
      <c r="H26" s="3">
        <f t="shared" si="12"/>
        <v>-137.66095238095232</v>
      </c>
      <c r="I26" s="3">
        <f t="shared" si="13"/>
        <v>-13.766095238095232</v>
      </c>
      <c r="J26" s="3">
        <f t="shared" si="9"/>
        <v>-4.5886984126984105</v>
      </c>
      <c r="K26" s="12">
        <f t="shared" si="14"/>
        <v>-0.45886984126984109</v>
      </c>
    </row>
    <row r="27" spans="1:11" x14ac:dyDescent="0.25">
      <c r="D27" s="3">
        <f>SUM(D18:D26)</f>
        <v>19235.638095238093</v>
      </c>
      <c r="E27" s="3">
        <f>SUM(E18:E26)</f>
        <v>11758</v>
      </c>
      <c r="F27" s="3">
        <f>SUM(F18:F26)</f>
        <v>844</v>
      </c>
      <c r="G27" s="3">
        <f t="shared" si="11"/>
        <v>-6633.6380952380932</v>
      </c>
      <c r="H27" s="3"/>
      <c r="I27" s="3"/>
      <c r="J27" s="3"/>
      <c r="K27" s="12"/>
    </row>
    <row r="28" spans="1:11" ht="15.75" x14ac:dyDescent="0.25">
      <c r="A28" s="35" t="s">
        <v>16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pans="1:11" ht="45" x14ac:dyDescent="0.25">
      <c r="A29" s="1" t="s">
        <v>0</v>
      </c>
      <c r="B29" s="1" t="s">
        <v>25</v>
      </c>
      <c r="C29" s="2" t="s">
        <v>1</v>
      </c>
      <c r="D29" s="4" t="s">
        <v>13</v>
      </c>
      <c r="E29" s="6" t="s">
        <v>24</v>
      </c>
      <c r="F29" s="6" t="s">
        <v>2</v>
      </c>
      <c r="G29" s="1" t="s">
        <v>3</v>
      </c>
      <c r="H29" s="1" t="s">
        <v>28</v>
      </c>
      <c r="I29" s="1" t="s">
        <v>29</v>
      </c>
      <c r="J29" s="11" t="s">
        <v>38</v>
      </c>
      <c r="K29" s="24" t="s">
        <v>37</v>
      </c>
    </row>
    <row r="30" spans="1:11" x14ac:dyDescent="0.25">
      <c r="A30" t="s">
        <v>4</v>
      </c>
      <c r="B30">
        <v>57986</v>
      </c>
      <c r="C30" s="3">
        <f t="shared" ref="C30:C38" si="15">B30/$D$1</f>
        <v>1656.7428571428572</v>
      </c>
      <c r="D30" s="5">
        <f>C30*112/$D$2</f>
        <v>1932.8666666666668</v>
      </c>
      <c r="E30" s="7">
        <v>354</v>
      </c>
      <c r="F30" s="8">
        <v>72</v>
      </c>
      <c r="G30" s="3">
        <f t="shared" ref="G30:G38" si="16">(F30+E30)-D30</f>
        <v>-1506.8666666666668</v>
      </c>
      <c r="H30" s="3">
        <f t="shared" ref="H30:H38" si="17">G30*0.8</f>
        <v>-1205.4933333333336</v>
      </c>
      <c r="I30" s="3">
        <f t="shared" ref="I30:I38" si="18">H30*0.1</f>
        <v>-120.54933333333337</v>
      </c>
      <c r="J30" s="3">
        <f t="shared" ref="J30:J38" si="19">IF(H30 &gt; 0,"",H30/30)</f>
        <v>-40.183111111111117</v>
      </c>
      <c r="K30" s="12">
        <f t="shared" ref="K30:K38" si="20">IF(I30 &gt; 0,"",I30/30)</f>
        <v>-4.0183111111111121</v>
      </c>
    </row>
    <row r="31" spans="1:11" x14ac:dyDescent="0.25">
      <c r="A31" t="s">
        <v>5</v>
      </c>
      <c r="B31">
        <v>48108</v>
      </c>
      <c r="C31" s="3">
        <f t="shared" si="15"/>
        <v>1374.5142857142857</v>
      </c>
      <c r="D31" s="5">
        <f t="shared" ref="D31:D38" si="21">C31*112/$D$2</f>
        <v>1603.6000000000001</v>
      </c>
      <c r="E31" s="7">
        <v>497</v>
      </c>
      <c r="F31" s="8">
        <v>56</v>
      </c>
      <c r="G31" s="3">
        <f t="shared" si="16"/>
        <v>-1050.6000000000001</v>
      </c>
      <c r="H31" s="3">
        <f t="shared" si="17"/>
        <v>-840.48000000000013</v>
      </c>
      <c r="I31" s="3">
        <f t="shared" si="18"/>
        <v>-84.048000000000016</v>
      </c>
      <c r="J31" s="3">
        <f t="shared" si="19"/>
        <v>-28.016000000000005</v>
      </c>
      <c r="K31" s="12">
        <f t="shared" si="20"/>
        <v>-2.8016000000000005</v>
      </c>
    </row>
    <row r="32" spans="1:11" x14ac:dyDescent="0.25">
      <c r="A32" t="s">
        <v>6</v>
      </c>
      <c r="B32">
        <v>184613</v>
      </c>
      <c r="C32" s="3">
        <f t="shared" si="15"/>
        <v>5274.6571428571433</v>
      </c>
      <c r="D32" s="5">
        <f t="shared" si="21"/>
        <v>6153.7666666666673</v>
      </c>
      <c r="E32" s="7">
        <v>1822</v>
      </c>
      <c r="F32" s="8">
        <v>37</v>
      </c>
      <c r="G32" s="3">
        <f t="shared" si="16"/>
        <v>-4294.7666666666673</v>
      </c>
      <c r="H32" s="3">
        <f t="shared" si="17"/>
        <v>-3435.813333333334</v>
      </c>
      <c r="I32" s="3">
        <f t="shared" si="18"/>
        <v>-343.58133333333342</v>
      </c>
      <c r="J32" s="3">
        <f t="shared" si="19"/>
        <v>-114.52711111111113</v>
      </c>
      <c r="K32" s="12">
        <f t="shared" si="20"/>
        <v>-11.452711111111114</v>
      </c>
    </row>
    <row r="33" spans="1:11" x14ac:dyDescent="0.25">
      <c r="A33" t="s">
        <v>7</v>
      </c>
      <c r="B33">
        <v>234107</v>
      </c>
      <c r="C33" s="3">
        <f t="shared" si="15"/>
        <v>6688.7714285714283</v>
      </c>
      <c r="D33" s="5">
        <f t="shared" si="21"/>
        <v>7803.5666666666657</v>
      </c>
      <c r="E33" s="7">
        <v>2602</v>
      </c>
      <c r="F33" s="8">
        <v>88</v>
      </c>
      <c r="G33" s="3">
        <f t="shared" si="16"/>
        <v>-5113.5666666666657</v>
      </c>
      <c r="H33" s="3">
        <f t="shared" si="17"/>
        <v>-4090.8533333333326</v>
      </c>
      <c r="I33" s="3">
        <f t="shared" si="18"/>
        <v>-409.08533333333327</v>
      </c>
      <c r="J33" s="3">
        <f t="shared" si="19"/>
        <v>-136.36177777777775</v>
      </c>
      <c r="K33" s="12">
        <f t="shared" si="20"/>
        <v>-13.636177777777776</v>
      </c>
    </row>
    <row r="34" spans="1:11" x14ac:dyDescent="0.25">
      <c r="A34" t="s">
        <v>8</v>
      </c>
      <c r="B34">
        <v>48684</v>
      </c>
      <c r="C34" s="3">
        <f t="shared" si="15"/>
        <v>1390.9714285714285</v>
      </c>
      <c r="D34" s="5">
        <f t="shared" si="21"/>
        <v>1622.8</v>
      </c>
      <c r="E34" s="7">
        <v>667</v>
      </c>
      <c r="F34" s="8">
        <v>0</v>
      </c>
      <c r="G34" s="3">
        <f t="shared" si="16"/>
        <v>-955.8</v>
      </c>
      <c r="H34" s="3">
        <f t="shared" si="17"/>
        <v>-764.64</v>
      </c>
      <c r="I34" s="3">
        <f t="shared" si="18"/>
        <v>-76.463999999999999</v>
      </c>
      <c r="J34" s="3">
        <f t="shared" si="19"/>
        <v>-25.488</v>
      </c>
      <c r="K34" s="12">
        <f t="shared" si="20"/>
        <v>-2.5488</v>
      </c>
    </row>
    <row r="35" spans="1:11" x14ac:dyDescent="0.25">
      <c r="A35" t="s">
        <v>9</v>
      </c>
      <c r="B35">
        <v>14471</v>
      </c>
      <c r="C35" s="3">
        <f t="shared" si="15"/>
        <v>413.45714285714286</v>
      </c>
      <c r="D35" s="5">
        <f t="shared" si="21"/>
        <v>482.36666666666662</v>
      </c>
      <c r="E35" s="7">
        <v>105</v>
      </c>
      <c r="F35" s="8">
        <v>76</v>
      </c>
      <c r="G35" s="3">
        <f t="shared" si="16"/>
        <v>-301.36666666666662</v>
      </c>
      <c r="H35" s="3">
        <f t="shared" si="17"/>
        <v>-241.09333333333331</v>
      </c>
      <c r="I35" s="3">
        <f t="shared" si="18"/>
        <v>-24.109333333333332</v>
      </c>
      <c r="J35" s="3">
        <f t="shared" si="19"/>
        <v>-8.0364444444444434</v>
      </c>
      <c r="K35" s="12">
        <f t="shared" si="20"/>
        <v>-0.80364444444444438</v>
      </c>
    </row>
    <row r="36" spans="1:11" x14ac:dyDescent="0.25">
      <c r="A36" t="s">
        <v>10</v>
      </c>
      <c r="B36">
        <v>80217</v>
      </c>
      <c r="C36" s="3">
        <f t="shared" si="15"/>
        <v>2291.9142857142856</v>
      </c>
      <c r="D36" s="5">
        <f t="shared" si="21"/>
        <v>2673.9</v>
      </c>
      <c r="E36" s="7">
        <v>1052</v>
      </c>
      <c r="F36" s="8">
        <v>54</v>
      </c>
      <c r="G36" s="3">
        <f t="shared" si="16"/>
        <v>-1567.9</v>
      </c>
      <c r="H36" s="3">
        <f t="shared" si="17"/>
        <v>-1254.3200000000002</v>
      </c>
      <c r="I36" s="3">
        <f t="shared" si="18"/>
        <v>-125.43200000000002</v>
      </c>
      <c r="J36" s="3">
        <f t="shared" si="19"/>
        <v>-41.81066666666667</v>
      </c>
      <c r="K36" s="12">
        <f t="shared" si="20"/>
        <v>-4.1810666666666672</v>
      </c>
    </row>
    <row r="37" spans="1:11" x14ac:dyDescent="0.25">
      <c r="A37" t="s">
        <v>11</v>
      </c>
      <c r="B37">
        <v>293171</v>
      </c>
      <c r="C37" s="3">
        <f t="shared" si="15"/>
        <v>8376.3142857142866</v>
      </c>
      <c r="D37" s="5">
        <f t="shared" si="21"/>
        <v>9772.3666666666668</v>
      </c>
      <c r="E37" s="7">
        <v>1746</v>
      </c>
      <c r="F37" s="8">
        <v>103</v>
      </c>
      <c r="G37" s="3">
        <f t="shared" si="16"/>
        <v>-7923.3666666666668</v>
      </c>
      <c r="H37" s="3">
        <f t="shared" si="17"/>
        <v>-6338.6933333333336</v>
      </c>
      <c r="I37" s="3">
        <f t="shared" si="18"/>
        <v>-633.86933333333343</v>
      </c>
      <c r="J37" s="3">
        <f t="shared" si="19"/>
        <v>-211.2897777777778</v>
      </c>
      <c r="K37" s="12">
        <f t="shared" si="20"/>
        <v>-21.128977777777781</v>
      </c>
    </row>
    <row r="38" spans="1:11" x14ac:dyDescent="0.25">
      <c r="A38" t="s">
        <v>12</v>
      </c>
      <c r="B38">
        <v>48514</v>
      </c>
      <c r="C38" s="3">
        <f t="shared" si="15"/>
        <v>1386.1142857142856</v>
      </c>
      <c r="D38" s="5">
        <f t="shared" si="21"/>
        <v>1617.1333333333332</v>
      </c>
      <c r="E38" s="7">
        <v>547</v>
      </c>
      <c r="F38" s="8">
        <v>0</v>
      </c>
      <c r="G38" s="3">
        <f t="shared" si="16"/>
        <v>-1070.1333333333332</v>
      </c>
      <c r="H38" s="3">
        <f t="shared" si="17"/>
        <v>-856.10666666666657</v>
      </c>
      <c r="I38" s="3">
        <f t="shared" si="18"/>
        <v>-85.61066666666666</v>
      </c>
      <c r="J38" s="3">
        <f t="shared" si="19"/>
        <v>-28.536888888888885</v>
      </c>
      <c r="K38" s="12">
        <f t="shared" si="20"/>
        <v>-2.8536888888888887</v>
      </c>
    </row>
    <row r="39" spans="1:11" x14ac:dyDescent="0.25">
      <c r="D39" s="3">
        <f>SUM(D30:D38)</f>
        <v>33662.366666666661</v>
      </c>
      <c r="E39" s="3">
        <f>SUM(E30:E38)</f>
        <v>9392</v>
      </c>
      <c r="F39" s="3">
        <f>SUM(F30:F38)</f>
        <v>486</v>
      </c>
      <c r="G39" s="3">
        <f>(F39+E39)-D39</f>
        <v>-23784.366666666661</v>
      </c>
      <c r="H39" s="3"/>
      <c r="I39" s="3"/>
      <c r="J39" s="3"/>
    </row>
    <row r="40" spans="1:11" ht="15.75" x14ac:dyDescent="0.25">
      <c r="A40" s="35" t="s">
        <v>17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spans="1:11" ht="45" x14ac:dyDescent="0.25">
      <c r="A41" s="1" t="s">
        <v>0</v>
      </c>
      <c r="B41" s="1" t="s">
        <v>25</v>
      </c>
      <c r="C41" s="2" t="s">
        <v>1</v>
      </c>
      <c r="D41" s="4" t="s">
        <v>13</v>
      </c>
      <c r="E41" s="6" t="s">
        <v>24</v>
      </c>
      <c r="F41" s="6" t="s">
        <v>2</v>
      </c>
      <c r="G41" s="1" t="s">
        <v>3</v>
      </c>
      <c r="H41" s="1" t="s">
        <v>28</v>
      </c>
      <c r="I41" s="1" t="s">
        <v>29</v>
      </c>
      <c r="J41" s="11" t="s">
        <v>38</v>
      </c>
      <c r="K41" s="24" t="s">
        <v>37</v>
      </c>
    </row>
    <row r="42" spans="1:11" x14ac:dyDescent="0.25">
      <c r="A42" t="s">
        <v>4</v>
      </c>
      <c r="B42">
        <v>57986</v>
      </c>
      <c r="C42" s="3">
        <f t="shared" ref="C42:C50" si="22">B42/$D$1</f>
        <v>1656.7428571428572</v>
      </c>
      <c r="D42" s="5">
        <f>C42*48/$D$2</f>
        <v>828.37142857142862</v>
      </c>
      <c r="E42" s="7">
        <v>149</v>
      </c>
      <c r="F42" s="8">
        <v>94</v>
      </c>
      <c r="G42" s="3">
        <f t="shared" ref="G42:G51" si="23">(F42+E42)-D42</f>
        <v>-585.37142857142862</v>
      </c>
      <c r="H42" s="3">
        <f t="shared" ref="H42:H50" si="24">G42*0.8</f>
        <v>-468.29714285714294</v>
      </c>
      <c r="I42" s="3">
        <f t="shared" ref="I42:I50" si="25">H42*0.1</f>
        <v>-46.829714285714296</v>
      </c>
      <c r="J42" s="3">
        <f t="shared" ref="J42:J50" si="26">IF(H42 &gt; 0,"",H42/30)</f>
        <v>-15.609904761904765</v>
      </c>
      <c r="K42" s="12">
        <f t="shared" ref="K42:K50" si="27">IF(I42 &gt; 0,"",I42/30)</f>
        <v>-1.5609904761904765</v>
      </c>
    </row>
    <row r="43" spans="1:11" x14ac:dyDescent="0.25">
      <c r="A43" t="s">
        <v>5</v>
      </c>
      <c r="B43">
        <v>48108</v>
      </c>
      <c r="C43" s="3">
        <f t="shared" si="22"/>
        <v>1374.5142857142857</v>
      </c>
      <c r="D43" s="5">
        <f t="shared" ref="D43:D50" si="28">C43*48/$D$2</f>
        <v>687.25714285714287</v>
      </c>
      <c r="E43" s="7">
        <v>171</v>
      </c>
      <c r="F43" s="8">
        <v>37</v>
      </c>
      <c r="G43" s="3">
        <f t="shared" si="23"/>
        <v>-479.25714285714287</v>
      </c>
      <c r="H43" s="3">
        <f t="shared" si="24"/>
        <v>-383.40571428571434</v>
      </c>
      <c r="I43" s="3">
        <f t="shared" si="25"/>
        <v>-38.340571428571437</v>
      </c>
      <c r="J43" s="3">
        <f t="shared" si="26"/>
        <v>-12.780190476190478</v>
      </c>
      <c r="K43" s="12">
        <f t="shared" si="27"/>
        <v>-1.2780190476190478</v>
      </c>
    </row>
    <row r="44" spans="1:11" x14ac:dyDescent="0.25">
      <c r="A44" t="s">
        <v>6</v>
      </c>
      <c r="B44">
        <v>184613</v>
      </c>
      <c r="C44" s="3">
        <f t="shared" si="22"/>
        <v>5274.6571428571433</v>
      </c>
      <c r="D44" s="5">
        <f t="shared" si="28"/>
        <v>2637.3285714285716</v>
      </c>
      <c r="E44" s="7">
        <v>725</v>
      </c>
      <c r="F44" s="8">
        <v>34</v>
      </c>
      <c r="G44" s="3">
        <f t="shared" si="23"/>
        <v>-1878.3285714285716</v>
      </c>
      <c r="H44" s="3">
        <f t="shared" si="24"/>
        <v>-1502.6628571428573</v>
      </c>
      <c r="I44" s="3">
        <f t="shared" si="25"/>
        <v>-150.26628571428574</v>
      </c>
      <c r="J44" s="3">
        <f t="shared" si="26"/>
        <v>-50.08876190476191</v>
      </c>
      <c r="K44" s="12">
        <f t="shared" si="27"/>
        <v>-5.0088761904761911</v>
      </c>
    </row>
    <row r="45" spans="1:11" x14ac:dyDescent="0.25">
      <c r="A45" t="s">
        <v>7</v>
      </c>
      <c r="B45">
        <v>234107</v>
      </c>
      <c r="C45" s="3">
        <f t="shared" si="22"/>
        <v>6688.7714285714283</v>
      </c>
      <c r="D45" s="5">
        <f t="shared" si="28"/>
        <v>3344.3857142857141</v>
      </c>
      <c r="E45" s="7">
        <v>896</v>
      </c>
      <c r="F45" s="8">
        <v>112</v>
      </c>
      <c r="G45" s="3">
        <f t="shared" si="23"/>
        <v>-2336.3857142857141</v>
      </c>
      <c r="H45" s="3">
        <f t="shared" si="24"/>
        <v>-1869.1085714285714</v>
      </c>
      <c r="I45" s="3">
        <f t="shared" si="25"/>
        <v>-186.91085714285714</v>
      </c>
      <c r="J45" s="3">
        <f t="shared" si="26"/>
        <v>-62.303619047619044</v>
      </c>
      <c r="K45" s="12">
        <f t="shared" si="27"/>
        <v>-6.2303619047619048</v>
      </c>
    </row>
    <row r="46" spans="1:11" x14ac:dyDescent="0.25">
      <c r="A46" t="s">
        <v>8</v>
      </c>
      <c r="B46">
        <v>48684</v>
      </c>
      <c r="C46" s="3">
        <f t="shared" si="22"/>
        <v>1390.9714285714285</v>
      </c>
      <c r="D46" s="5">
        <f t="shared" si="28"/>
        <v>695.48571428571415</v>
      </c>
      <c r="E46" s="7">
        <v>149</v>
      </c>
      <c r="F46" s="8">
        <v>23</v>
      </c>
      <c r="G46" s="3">
        <f t="shared" si="23"/>
        <v>-523.48571428571415</v>
      </c>
      <c r="H46" s="3">
        <f t="shared" si="24"/>
        <v>-418.78857142857134</v>
      </c>
      <c r="I46" s="3">
        <f t="shared" si="25"/>
        <v>-41.878857142857136</v>
      </c>
      <c r="J46" s="3">
        <f t="shared" si="26"/>
        <v>-13.959619047619045</v>
      </c>
      <c r="K46" s="12">
        <f t="shared" si="27"/>
        <v>-1.3959619047619045</v>
      </c>
    </row>
    <row r="47" spans="1:11" x14ac:dyDescent="0.25">
      <c r="A47" t="s">
        <v>9</v>
      </c>
      <c r="B47">
        <v>14471</v>
      </c>
      <c r="C47" s="3">
        <f t="shared" si="22"/>
        <v>413.45714285714286</v>
      </c>
      <c r="D47" s="5">
        <f t="shared" si="28"/>
        <v>206.72857142857143</v>
      </c>
      <c r="E47" s="7">
        <v>80</v>
      </c>
      <c r="F47" s="8">
        <v>41</v>
      </c>
      <c r="G47" s="3">
        <f t="shared" si="23"/>
        <v>-85.728571428571428</v>
      </c>
      <c r="H47" s="3">
        <f t="shared" si="24"/>
        <v>-68.582857142857151</v>
      </c>
      <c r="I47" s="3">
        <f>H47*0.1</f>
        <v>-6.8582857142857154</v>
      </c>
      <c r="J47" s="3">
        <f t="shared" si="26"/>
        <v>-2.2860952380952382</v>
      </c>
      <c r="K47" s="12">
        <f t="shared" si="27"/>
        <v>-0.22860952380952385</v>
      </c>
    </row>
    <row r="48" spans="1:11" x14ac:dyDescent="0.25">
      <c r="A48" t="s">
        <v>10</v>
      </c>
      <c r="B48">
        <v>80217</v>
      </c>
      <c r="C48" s="3">
        <f t="shared" si="22"/>
        <v>2291.9142857142856</v>
      </c>
      <c r="D48" s="5">
        <f t="shared" si="28"/>
        <v>1145.9571428571428</v>
      </c>
      <c r="E48" s="7">
        <v>299</v>
      </c>
      <c r="F48" s="8">
        <v>0</v>
      </c>
      <c r="G48" s="3">
        <f t="shared" si="23"/>
        <v>-846.9571428571428</v>
      </c>
      <c r="H48" s="3">
        <f t="shared" si="24"/>
        <v>-677.56571428571431</v>
      </c>
      <c r="I48" s="3">
        <f t="shared" si="25"/>
        <v>-67.756571428571434</v>
      </c>
      <c r="J48" s="3">
        <f t="shared" si="26"/>
        <v>-22.58552380952381</v>
      </c>
      <c r="K48" s="12">
        <f t="shared" si="27"/>
        <v>-2.2585523809523811</v>
      </c>
    </row>
    <row r="49" spans="1:11" x14ac:dyDescent="0.25">
      <c r="A49" t="s">
        <v>11</v>
      </c>
      <c r="B49">
        <v>293171</v>
      </c>
      <c r="C49" s="3">
        <f t="shared" si="22"/>
        <v>8376.3142857142866</v>
      </c>
      <c r="D49" s="5">
        <f t="shared" si="28"/>
        <v>4188.1571428571433</v>
      </c>
      <c r="E49" s="7">
        <v>644</v>
      </c>
      <c r="F49" s="8">
        <v>245</v>
      </c>
      <c r="G49" s="3">
        <f t="shared" si="23"/>
        <v>-3299.1571428571433</v>
      </c>
      <c r="H49" s="3">
        <f t="shared" si="24"/>
        <v>-2639.3257142857146</v>
      </c>
      <c r="I49" s="3">
        <f t="shared" si="25"/>
        <v>-263.93257142857146</v>
      </c>
      <c r="J49" s="3">
        <f t="shared" si="26"/>
        <v>-87.977523809523817</v>
      </c>
      <c r="K49" s="12">
        <f t="shared" si="27"/>
        <v>-8.7977523809523817</v>
      </c>
    </row>
    <row r="50" spans="1:11" x14ac:dyDescent="0.25">
      <c r="A50" t="s">
        <v>12</v>
      </c>
      <c r="B50">
        <v>48514</v>
      </c>
      <c r="C50" s="3">
        <f t="shared" si="22"/>
        <v>1386.1142857142856</v>
      </c>
      <c r="D50" s="5">
        <f t="shared" si="28"/>
        <v>693.05714285714282</v>
      </c>
      <c r="E50" s="7">
        <v>257</v>
      </c>
      <c r="F50" s="8">
        <v>32</v>
      </c>
      <c r="G50" s="3">
        <f t="shared" si="23"/>
        <v>-404.05714285714282</v>
      </c>
      <c r="H50" s="3">
        <f t="shared" si="24"/>
        <v>-323.24571428571426</v>
      </c>
      <c r="I50" s="3">
        <f t="shared" si="25"/>
        <v>-32.324571428571424</v>
      </c>
      <c r="J50" s="3">
        <f t="shared" si="26"/>
        <v>-10.774857142857142</v>
      </c>
      <c r="K50" s="12">
        <f t="shared" si="27"/>
        <v>-1.0774857142857142</v>
      </c>
    </row>
    <row r="51" spans="1:11" x14ac:dyDescent="0.25">
      <c r="D51" s="3">
        <f>SUM(D42:D50)</f>
        <v>14426.728571428572</v>
      </c>
      <c r="E51" s="3">
        <f>SUM(E42:E50)</f>
        <v>3370</v>
      </c>
      <c r="F51" s="3">
        <f>SUM(F42:F50)</f>
        <v>618</v>
      </c>
      <c r="G51" s="3">
        <f t="shared" si="23"/>
        <v>-10438.728571428572</v>
      </c>
      <c r="H51" s="3"/>
      <c r="I51" s="3"/>
      <c r="J51" s="3"/>
    </row>
    <row r="52" spans="1:11" ht="15.75" x14ac:dyDescent="0.25">
      <c r="A52" s="35" t="s">
        <v>18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</row>
    <row r="53" spans="1:11" ht="45" x14ac:dyDescent="0.25">
      <c r="A53" s="1" t="s">
        <v>0</v>
      </c>
      <c r="B53" s="1" t="s">
        <v>25</v>
      </c>
      <c r="C53" s="2" t="s">
        <v>1</v>
      </c>
      <c r="D53" s="4" t="s">
        <v>13</v>
      </c>
      <c r="E53" s="6" t="s">
        <v>24</v>
      </c>
      <c r="F53" s="6" t="s">
        <v>2</v>
      </c>
      <c r="G53" s="1" t="s">
        <v>3</v>
      </c>
      <c r="H53" s="1" t="s">
        <v>28</v>
      </c>
      <c r="I53" s="1" t="s">
        <v>29</v>
      </c>
      <c r="J53" s="11" t="s">
        <v>38</v>
      </c>
      <c r="K53" s="24" t="s">
        <v>37</v>
      </c>
    </row>
    <row r="54" spans="1:11" x14ac:dyDescent="0.25">
      <c r="A54" t="s">
        <v>4</v>
      </c>
      <c r="B54">
        <v>57986</v>
      </c>
      <c r="C54" s="3">
        <f t="shared" ref="C54:C62" si="29">B54/$D$1</f>
        <v>1656.7428571428572</v>
      </c>
      <c r="D54" s="5">
        <f>C54*128/$D$2</f>
        <v>2208.9904761904763</v>
      </c>
      <c r="E54" s="7">
        <v>361</v>
      </c>
      <c r="F54" s="8">
        <v>66</v>
      </c>
      <c r="G54" s="3">
        <f t="shared" ref="G54:G63" si="30">(F54+E54)-D54</f>
        <v>-1781.9904761904763</v>
      </c>
      <c r="H54" s="3">
        <f t="shared" ref="H54:H62" si="31">G54*0.8</f>
        <v>-1425.5923809523811</v>
      </c>
      <c r="I54" s="3">
        <f t="shared" ref="I54:I62" si="32">H54*0.1</f>
        <v>-142.5592380952381</v>
      </c>
      <c r="J54" s="3">
        <f t="shared" ref="J54:J62" si="33">IF(H54 &gt; 0,"",H54/30)</f>
        <v>-47.519746031746038</v>
      </c>
      <c r="K54" s="12">
        <f t="shared" ref="K54:K62" si="34">IF(I54 &gt; 0,"",I54/30)</f>
        <v>-4.7519746031746033</v>
      </c>
    </row>
    <row r="55" spans="1:11" x14ac:dyDescent="0.25">
      <c r="A55" t="s">
        <v>5</v>
      </c>
      <c r="B55">
        <v>48108</v>
      </c>
      <c r="C55" s="3">
        <f t="shared" si="29"/>
        <v>1374.5142857142857</v>
      </c>
      <c r="D55" s="5">
        <f t="shared" ref="D55:D62" si="35">C55*128/$D$2</f>
        <v>1832.6857142857143</v>
      </c>
      <c r="E55" s="7">
        <v>553</v>
      </c>
      <c r="F55" s="8">
        <v>20</v>
      </c>
      <c r="G55" s="3">
        <f t="shared" si="30"/>
        <v>-1259.6857142857143</v>
      </c>
      <c r="H55" s="3">
        <f t="shared" si="31"/>
        <v>-1007.7485714285715</v>
      </c>
      <c r="I55" s="3">
        <f t="shared" si="32"/>
        <v>-100.77485714285716</v>
      </c>
      <c r="J55" s="3">
        <f t="shared" si="33"/>
        <v>-33.591619047619048</v>
      </c>
      <c r="K55" s="12">
        <f t="shared" si="34"/>
        <v>-3.3591619047619052</v>
      </c>
    </row>
    <row r="56" spans="1:11" x14ac:dyDescent="0.25">
      <c r="A56" t="s">
        <v>6</v>
      </c>
      <c r="B56">
        <v>184613</v>
      </c>
      <c r="C56" s="3">
        <f t="shared" si="29"/>
        <v>5274.6571428571433</v>
      </c>
      <c r="D56" s="5">
        <f t="shared" si="35"/>
        <v>7032.8761904761914</v>
      </c>
      <c r="E56" s="7">
        <v>1845</v>
      </c>
      <c r="F56" s="8">
        <v>80</v>
      </c>
      <c r="G56" s="3">
        <f t="shared" si="30"/>
        <v>-5107.8761904761914</v>
      </c>
      <c r="H56" s="3">
        <f t="shared" si="31"/>
        <v>-4086.3009523809533</v>
      </c>
      <c r="I56" s="3">
        <f t="shared" si="32"/>
        <v>-408.63009523809535</v>
      </c>
      <c r="J56" s="3">
        <f t="shared" si="33"/>
        <v>-136.21003174603177</v>
      </c>
      <c r="K56" s="12">
        <f t="shared" si="34"/>
        <v>-13.621003174603178</v>
      </c>
    </row>
    <row r="57" spans="1:11" x14ac:dyDescent="0.25">
      <c r="A57" t="s">
        <v>7</v>
      </c>
      <c r="B57">
        <v>234107</v>
      </c>
      <c r="C57" s="3">
        <f t="shared" si="29"/>
        <v>6688.7714285714283</v>
      </c>
      <c r="D57" s="5">
        <f t="shared" si="35"/>
        <v>8918.361904761905</v>
      </c>
      <c r="E57" s="7">
        <v>2227</v>
      </c>
      <c r="F57" s="8">
        <v>62</v>
      </c>
      <c r="G57" s="3">
        <f t="shared" si="30"/>
        <v>-6629.361904761905</v>
      </c>
      <c r="H57" s="3">
        <f t="shared" si="31"/>
        <v>-5303.4895238095241</v>
      </c>
      <c r="I57" s="3">
        <f t="shared" si="32"/>
        <v>-530.34895238095248</v>
      </c>
      <c r="J57" s="3">
        <f t="shared" si="33"/>
        <v>-176.78298412698413</v>
      </c>
      <c r="K57" s="12">
        <f t="shared" si="34"/>
        <v>-17.678298412698418</v>
      </c>
    </row>
    <row r="58" spans="1:11" x14ac:dyDescent="0.25">
      <c r="A58" t="s">
        <v>8</v>
      </c>
      <c r="B58">
        <v>48684</v>
      </c>
      <c r="C58" s="3">
        <f t="shared" si="29"/>
        <v>1390.9714285714285</v>
      </c>
      <c r="D58" s="5">
        <f t="shared" si="35"/>
        <v>1854.6285714285714</v>
      </c>
      <c r="E58" s="7">
        <v>465</v>
      </c>
      <c r="F58" s="8">
        <v>64</v>
      </c>
      <c r="G58" s="3">
        <f t="shared" si="30"/>
        <v>-1325.6285714285714</v>
      </c>
      <c r="H58" s="3">
        <f t="shared" si="31"/>
        <v>-1060.5028571428572</v>
      </c>
      <c r="I58" s="3">
        <f t="shared" si="32"/>
        <v>-106.05028571428574</v>
      </c>
      <c r="J58" s="3">
        <f t="shared" si="33"/>
        <v>-35.350095238095243</v>
      </c>
      <c r="K58" s="12">
        <f t="shared" si="34"/>
        <v>-3.5350095238095247</v>
      </c>
    </row>
    <row r="59" spans="1:11" x14ac:dyDescent="0.25">
      <c r="A59" t="s">
        <v>9</v>
      </c>
      <c r="B59">
        <v>14471</v>
      </c>
      <c r="C59" s="3">
        <f t="shared" si="29"/>
        <v>413.45714285714286</v>
      </c>
      <c r="D59" s="5">
        <f t="shared" si="35"/>
        <v>551.27619047619044</v>
      </c>
      <c r="E59" s="7">
        <v>137</v>
      </c>
      <c r="F59" s="8">
        <v>43</v>
      </c>
      <c r="G59" s="3">
        <f t="shared" si="30"/>
        <v>-371.27619047619044</v>
      </c>
      <c r="H59" s="3">
        <f t="shared" si="31"/>
        <v>-297.02095238095234</v>
      </c>
      <c r="I59" s="3">
        <f t="shared" si="32"/>
        <v>-29.702095238095236</v>
      </c>
      <c r="J59" s="3">
        <f t="shared" si="33"/>
        <v>-9.9006984126984108</v>
      </c>
      <c r="K59" s="12">
        <f t="shared" si="34"/>
        <v>-0.99006984126984121</v>
      </c>
    </row>
    <row r="60" spans="1:11" x14ac:dyDescent="0.25">
      <c r="A60" t="s">
        <v>10</v>
      </c>
      <c r="B60">
        <v>80217</v>
      </c>
      <c r="C60" s="3">
        <f t="shared" si="29"/>
        <v>2291.9142857142856</v>
      </c>
      <c r="D60" s="5">
        <f t="shared" si="35"/>
        <v>3055.8857142857141</v>
      </c>
      <c r="E60" s="7">
        <v>931</v>
      </c>
      <c r="F60" s="8">
        <v>32</v>
      </c>
      <c r="G60" s="3">
        <f t="shared" si="30"/>
        <v>-2092.8857142857141</v>
      </c>
      <c r="H60" s="3">
        <f t="shared" si="31"/>
        <v>-1674.3085714285714</v>
      </c>
      <c r="I60" s="3">
        <f t="shared" si="32"/>
        <v>-167.43085714285715</v>
      </c>
      <c r="J60" s="3">
        <f t="shared" si="33"/>
        <v>-55.810285714285712</v>
      </c>
      <c r="K60" s="12">
        <f t="shared" si="34"/>
        <v>-5.5810285714285719</v>
      </c>
    </row>
    <row r="61" spans="1:11" x14ac:dyDescent="0.25">
      <c r="A61" t="s">
        <v>11</v>
      </c>
      <c r="B61">
        <v>293171</v>
      </c>
      <c r="C61" s="3">
        <f t="shared" si="29"/>
        <v>8376.3142857142866</v>
      </c>
      <c r="D61" s="5">
        <f t="shared" si="35"/>
        <v>11168.419047619049</v>
      </c>
      <c r="E61" s="7">
        <v>1890</v>
      </c>
      <c r="F61" s="8">
        <v>125</v>
      </c>
      <c r="G61" s="3">
        <f t="shared" si="30"/>
        <v>-9153.4190476190488</v>
      </c>
      <c r="H61" s="3">
        <f t="shared" si="31"/>
        <v>-7322.7352380952398</v>
      </c>
      <c r="I61" s="3">
        <f t="shared" si="32"/>
        <v>-732.27352380952402</v>
      </c>
      <c r="J61" s="3">
        <f t="shared" si="33"/>
        <v>-244.09117460317466</v>
      </c>
      <c r="K61" s="12">
        <f t="shared" si="34"/>
        <v>-24.409117460317468</v>
      </c>
    </row>
    <row r="62" spans="1:11" x14ac:dyDescent="0.25">
      <c r="A62" t="s">
        <v>12</v>
      </c>
      <c r="B62">
        <v>48514</v>
      </c>
      <c r="C62" s="3">
        <f t="shared" si="29"/>
        <v>1386.1142857142856</v>
      </c>
      <c r="D62" s="5">
        <f t="shared" si="35"/>
        <v>1848.1523809523808</v>
      </c>
      <c r="E62" s="7">
        <v>491</v>
      </c>
      <c r="F62" s="8">
        <v>0</v>
      </c>
      <c r="G62" s="3">
        <f t="shared" si="30"/>
        <v>-1357.1523809523808</v>
      </c>
      <c r="H62" s="3">
        <f t="shared" si="31"/>
        <v>-1085.7219047619046</v>
      </c>
      <c r="I62" s="3">
        <f t="shared" si="32"/>
        <v>-108.57219047619047</v>
      </c>
      <c r="J62" s="3">
        <f t="shared" si="33"/>
        <v>-36.190730158730155</v>
      </c>
      <c r="K62" s="12">
        <f t="shared" si="34"/>
        <v>-3.6190730158730156</v>
      </c>
    </row>
    <row r="63" spans="1:11" x14ac:dyDescent="0.25">
      <c r="D63" s="3">
        <f>SUM(D54:D62)</f>
        <v>38471.276190476186</v>
      </c>
      <c r="E63" s="3">
        <f>SUM(E54:E62)</f>
        <v>8900</v>
      </c>
      <c r="F63" s="3">
        <f>SUM(F54:F62)</f>
        <v>492</v>
      </c>
      <c r="G63" s="3">
        <f t="shared" si="30"/>
        <v>-29079.276190476186</v>
      </c>
      <c r="H63" s="3"/>
      <c r="I63" s="3"/>
      <c r="J63" s="3"/>
    </row>
    <row r="64" spans="1:11" ht="15.75" x14ac:dyDescent="0.25">
      <c r="A64" s="35" t="s">
        <v>19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spans="1:11" ht="45" x14ac:dyDescent="0.25">
      <c r="A65" s="1" t="s">
        <v>0</v>
      </c>
      <c r="B65" s="1" t="s">
        <v>25</v>
      </c>
      <c r="C65" s="2" t="s">
        <v>1</v>
      </c>
      <c r="D65" s="4" t="s">
        <v>13</v>
      </c>
      <c r="E65" s="6" t="s">
        <v>24</v>
      </c>
      <c r="F65" s="6" t="s">
        <v>2</v>
      </c>
      <c r="G65" s="1" t="s">
        <v>3</v>
      </c>
      <c r="H65" s="1" t="s">
        <v>28</v>
      </c>
      <c r="I65" s="1" t="s">
        <v>29</v>
      </c>
      <c r="J65" s="11" t="s">
        <v>38</v>
      </c>
      <c r="K65" s="24" t="s">
        <v>37</v>
      </c>
    </row>
    <row r="66" spans="1:11" x14ac:dyDescent="0.25">
      <c r="A66" t="s">
        <v>4</v>
      </c>
      <c r="B66">
        <v>57986</v>
      </c>
      <c r="C66" s="3">
        <f t="shared" ref="C66:C74" si="36">B66/$D$1</f>
        <v>1656.7428571428572</v>
      </c>
      <c r="D66" s="5">
        <f t="shared" ref="D66:D74" si="37">C66*48/$D$2</f>
        <v>828.37142857142862</v>
      </c>
      <c r="E66" s="7">
        <v>174</v>
      </c>
      <c r="F66" s="8">
        <v>67</v>
      </c>
      <c r="G66" s="3">
        <f t="shared" ref="G66:G75" si="38">(F66+E66)-D66</f>
        <v>-587.37142857142862</v>
      </c>
      <c r="H66" s="3">
        <f t="shared" ref="H66:H74" si="39">G66*0.8</f>
        <v>-469.89714285714291</v>
      </c>
      <c r="I66" s="3">
        <f t="shared" ref="I66:I74" si="40">H66*0.1</f>
        <v>-46.989714285714292</v>
      </c>
      <c r="J66" s="3">
        <f t="shared" ref="J66:J74" si="41">IF(H66 &gt; 0,"",H66/30)</f>
        <v>-15.663238095238096</v>
      </c>
      <c r="K66" s="12">
        <f t="shared" ref="K66:K74" si="42">IF(I66 &gt; 0,"",I66/30)</f>
        <v>-1.5663238095238097</v>
      </c>
    </row>
    <row r="67" spans="1:11" x14ac:dyDescent="0.25">
      <c r="A67" t="s">
        <v>5</v>
      </c>
      <c r="B67">
        <v>48108</v>
      </c>
      <c r="C67" s="3">
        <f t="shared" si="36"/>
        <v>1374.5142857142857</v>
      </c>
      <c r="D67" s="5">
        <f t="shared" si="37"/>
        <v>687.25714285714287</v>
      </c>
      <c r="E67" s="7">
        <v>346</v>
      </c>
      <c r="F67" s="8">
        <v>32</v>
      </c>
      <c r="G67" s="3">
        <f t="shared" si="38"/>
        <v>-309.25714285714287</v>
      </c>
      <c r="H67" s="3">
        <f t="shared" si="39"/>
        <v>-247.40571428571431</v>
      </c>
      <c r="I67" s="3">
        <f t="shared" si="40"/>
        <v>-24.740571428571432</v>
      </c>
      <c r="J67" s="3">
        <f t="shared" si="41"/>
        <v>-8.2468571428571433</v>
      </c>
      <c r="K67" s="12">
        <f t="shared" si="42"/>
        <v>-0.82468571428571436</v>
      </c>
    </row>
    <row r="68" spans="1:11" x14ac:dyDescent="0.25">
      <c r="A68" t="s">
        <v>6</v>
      </c>
      <c r="B68">
        <v>184613</v>
      </c>
      <c r="C68" s="3">
        <f t="shared" si="36"/>
        <v>5274.6571428571433</v>
      </c>
      <c r="D68" s="5">
        <f t="shared" si="37"/>
        <v>2637.3285714285716</v>
      </c>
      <c r="E68" s="7">
        <v>1084</v>
      </c>
      <c r="F68" s="8">
        <v>113</v>
      </c>
      <c r="G68" s="3">
        <f t="shared" si="38"/>
        <v>-1440.3285714285716</v>
      </c>
      <c r="H68" s="3">
        <f t="shared" si="39"/>
        <v>-1152.2628571428575</v>
      </c>
      <c r="I68" s="3">
        <f t="shared" si="40"/>
        <v>-115.22628571428575</v>
      </c>
      <c r="J68" s="3">
        <f t="shared" si="41"/>
        <v>-38.408761904761917</v>
      </c>
      <c r="K68" s="12">
        <f t="shared" si="42"/>
        <v>-3.8408761904761919</v>
      </c>
    </row>
    <row r="69" spans="1:11" x14ac:dyDescent="0.25">
      <c r="A69" t="s">
        <v>7</v>
      </c>
      <c r="B69">
        <v>234107</v>
      </c>
      <c r="C69" s="3">
        <f t="shared" si="36"/>
        <v>6688.7714285714283</v>
      </c>
      <c r="D69" s="5">
        <f t="shared" si="37"/>
        <v>3344.3857142857141</v>
      </c>
      <c r="E69" s="7">
        <v>1562</v>
      </c>
      <c r="F69" s="8">
        <v>340</v>
      </c>
      <c r="G69" s="3">
        <f t="shared" si="38"/>
        <v>-1442.3857142857141</v>
      </c>
      <c r="H69" s="3">
        <f t="shared" si="39"/>
        <v>-1153.9085714285713</v>
      </c>
      <c r="I69" s="3">
        <f t="shared" si="40"/>
        <v>-115.39085714285714</v>
      </c>
      <c r="J69" s="3">
        <f t="shared" si="41"/>
        <v>-38.463619047619048</v>
      </c>
      <c r="K69" s="12">
        <f t="shared" si="42"/>
        <v>-3.8463619047619049</v>
      </c>
    </row>
    <row r="70" spans="1:11" x14ac:dyDescent="0.25">
      <c r="A70" t="s">
        <v>8</v>
      </c>
      <c r="B70">
        <v>48684</v>
      </c>
      <c r="C70" s="3">
        <f t="shared" si="36"/>
        <v>1390.9714285714285</v>
      </c>
      <c r="D70" s="5">
        <f t="shared" si="37"/>
        <v>695.48571428571415</v>
      </c>
      <c r="E70" s="7">
        <v>301</v>
      </c>
      <c r="F70" s="8">
        <v>187</v>
      </c>
      <c r="G70" s="3">
        <f t="shared" si="38"/>
        <v>-207.48571428571415</v>
      </c>
      <c r="H70" s="3">
        <f t="shared" si="39"/>
        <v>-165.98857142857133</v>
      </c>
      <c r="I70" s="3">
        <f t="shared" si="40"/>
        <v>-16.598857142857135</v>
      </c>
      <c r="J70" s="3">
        <f t="shared" si="41"/>
        <v>-5.532952380952378</v>
      </c>
      <c r="K70" s="12">
        <f t="shared" si="42"/>
        <v>-0.55329523809523784</v>
      </c>
    </row>
    <row r="71" spans="1:11" x14ac:dyDescent="0.25">
      <c r="A71" t="s">
        <v>9</v>
      </c>
      <c r="B71">
        <v>14471</v>
      </c>
      <c r="C71" s="3">
        <f t="shared" si="36"/>
        <v>413.45714285714286</v>
      </c>
      <c r="D71" s="5">
        <f t="shared" si="37"/>
        <v>206.72857142857143</v>
      </c>
      <c r="E71" s="7">
        <v>122</v>
      </c>
      <c r="F71" s="8">
        <v>0</v>
      </c>
      <c r="G71" s="3">
        <f t="shared" si="38"/>
        <v>-84.728571428571428</v>
      </c>
      <c r="H71" s="3">
        <f t="shared" si="39"/>
        <v>-67.782857142857139</v>
      </c>
      <c r="I71" s="3">
        <f t="shared" si="40"/>
        <v>-6.7782857142857145</v>
      </c>
      <c r="J71" s="3">
        <f t="shared" si="41"/>
        <v>-2.2594285714285713</v>
      </c>
      <c r="K71" s="12">
        <f t="shared" si="42"/>
        <v>-0.22594285714285714</v>
      </c>
    </row>
    <row r="72" spans="1:11" x14ac:dyDescent="0.25">
      <c r="A72" t="s">
        <v>10</v>
      </c>
      <c r="B72">
        <v>80217</v>
      </c>
      <c r="C72" s="3">
        <f t="shared" si="36"/>
        <v>2291.9142857142856</v>
      </c>
      <c r="D72" s="5">
        <f t="shared" si="37"/>
        <v>1145.9571428571428</v>
      </c>
      <c r="E72" s="7">
        <v>517</v>
      </c>
      <c r="F72" s="8">
        <v>49</v>
      </c>
      <c r="G72" s="3">
        <f t="shared" si="38"/>
        <v>-579.9571428571428</v>
      </c>
      <c r="H72" s="3">
        <f t="shared" si="39"/>
        <v>-463.96571428571428</v>
      </c>
      <c r="I72" s="3">
        <f t="shared" si="40"/>
        <v>-46.396571428571434</v>
      </c>
      <c r="J72" s="3">
        <f t="shared" si="41"/>
        <v>-15.465523809523809</v>
      </c>
      <c r="K72" s="12">
        <f t="shared" si="42"/>
        <v>-1.5465523809523811</v>
      </c>
    </row>
    <row r="73" spans="1:11" x14ac:dyDescent="0.25">
      <c r="A73" t="s">
        <v>11</v>
      </c>
      <c r="B73">
        <v>293171</v>
      </c>
      <c r="C73" s="3">
        <f t="shared" si="36"/>
        <v>8376.3142857142866</v>
      </c>
      <c r="D73" s="5">
        <f t="shared" si="37"/>
        <v>4188.1571428571433</v>
      </c>
      <c r="E73" s="7">
        <v>932</v>
      </c>
      <c r="F73" s="8">
        <v>75</v>
      </c>
      <c r="G73" s="3">
        <f t="shared" si="38"/>
        <v>-3181.1571428571433</v>
      </c>
      <c r="H73" s="3">
        <f t="shared" si="39"/>
        <v>-2544.925714285715</v>
      </c>
      <c r="I73" s="3">
        <f t="shared" si="40"/>
        <v>-254.49257142857152</v>
      </c>
      <c r="J73" s="3">
        <f t="shared" si="41"/>
        <v>-84.83085714285717</v>
      </c>
      <c r="K73" s="12">
        <f t="shared" si="42"/>
        <v>-8.4830857142857177</v>
      </c>
    </row>
    <row r="74" spans="1:11" x14ac:dyDescent="0.25">
      <c r="A74" t="s">
        <v>12</v>
      </c>
      <c r="B74">
        <v>48514</v>
      </c>
      <c r="C74" s="3">
        <f t="shared" si="36"/>
        <v>1386.1142857142856</v>
      </c>
      <c r="D74" s="5">
        <f t="shared" si="37"/>
        <v>693.05714285714282</v>
      </c>
      <c r="E74" s="7">
        <v>318</v>
      </c>
      <c r="F74" s="8">
        <v>0</v>
      </c>
      <c r="G74" s="3">
        <f t="shared" si="38"/>
        <v>-375.05714285714282</v>
      </c>
      <c r="H74" s="3">
        <f t="shared" si="39"/>
        <v>-300.04571428571427</v>
      </c>
      <c r="I74" s="3">
        <f t="shared" si="40"/>
        <v>-30.004571428571428</v>
      </c>
      <c r="J74" s="3">
        <f t="shared" si="41"/>
        <v>-10.001523809523809</v>
      </c>
      <c r="K74" s="12">
        <f t="shared" si="42"/>
        <v>-1.0001523809523809</v>
      </c>
    </row>
    <row r="75" spans="1:11" x14ac:dyDescent="0.25">
      <c r="D75" s="3">
        <f>SUM(D66:D74)</f>
        <v>14426.728571428572</v>
      </c>
      <c r="E75" s="3">
        <f>SUM(E66:E74)</f>
        <v>5356</v>
      </c>
      <c r="F75" s="3">
        <f>SUM(F66:F74)</f>
        <v>863</v>
      </c>
      <c r="G75" s="3">
        <f t="shared" si="38"/>
        <v>-8207.7285714285717</v>
      </c>
      <c r="H75" s="3"/>
      <c r="I75" s="3"/>
      <c r="J75" s="3"/>
    </row>
    <row r="76" spans="1:11" ht="15.75" x14ac:dyDescent="0.25">
      <c r="A76" s="35" t="s">
        <v>20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</row>
    <row r="77" spans="1:11" ht="45" x14ac:dyDescent="0.25">
      <c r="A77" s="1" t="s">
        <v>0</v>
      </c>
      <c r="B77" s="1" t="s">
        <v>25</v>
      </c>
      <c r="C77" s="2" t="s">
        <v>1</v>
      </c>
      <c r="D77" s="4" t="s">
        <v>13</v>
      </c>
      <c r="E77" s="6" t="s">
        <v>24</v>
      </c>
      <c r="F77" s="6" t="s">
        <v>2</v>
      </c>
      <c r="G77" s="1" t="s">
        <v>3</v>
      </c>
      <c r="H77" s="1" t="s">
        <v>28</v>
      </c>
      <c r="I77" s="1" t="s">
        <v>29</v>
      </c>
      <c r="J77" s="11" t="s">
        <v>38</v>
      </c>
      <c r="K77" s="24" t="s">
        <v>37</v>
      </c>
    </row>
    <row r="78" spans="1:11" x14ac:dyDescent="0.25">
      <c r="A78" t="s">
        <v>4</v>
      </c>
      <c r="B78">
        <v>57986</v>
      </c>
      <c r="C78" s="3">
        <f t="shared" ref="C78:C86" si="43">B78/$D$1</f>
        <v>1656.7428571428572</v>
      </c>
      <c r="D78" s="5">
        <f t="shared" ref="D78:D86" si="44">C78*48/$D$2</f>
        <v>828.37142857142862</v>
      </c>
      <c r="E78" s="7">
        <v>136</v>
      </c>
      <c r="F78" s="8">
        <v>64</v>
      </c>
      <c r="G78" s="3">
        <f t="shared" ref="G78:G87" si="45">(F78+E78)-D78</f>
        <v>-628.37142857142862</v>
      </c>
      <c r="H78" s="3">
        <f t="shared" ref="H78:H86" si="46">G78*0.8</f>
        <v>-502.69714285714292</v>
      </c>
      <c r="I78" s="3">
        <f t="shared" ref="I78:I86" si="47">H78*0.1</f>
        <v>-50.269714285714294</v>
      </c>
      <c r="J78" s="3">
        <f t="shared" ref="J78:J86" si="48">IF(H78 &gt; 0,"",H78/30)</f>
        <v>-16.75657142857143</v>
      </c>
      <c r="K78" s="12">
        <f t="shared" ref="K78:K86" si="49">IF(I78 &gt; 0,"",I78/30)</f>
        <v>-1.6756571428571432</v>
      </c>
    </row>
    <row r="79" spans="1:11" x14ac:dyDescent="0.25">
      <c r="A79" t="s">
        <v>5</v>
      </c>
      <c r="B79">
        <v>48108</v>
      </c>
      <c r="C79" s="3">
        <f t="shared" si="43"/>
        <v>1374.5142857142857</v>
      </c>
      <c r="D79" s="5">
        <f t="shared" si="44"/>
        <v>687.25714285714287</v>
      </c>
      <c r="E79" s="7">
        <v>302</v>
      </c>
      <c r="F79" s="8">
        <v>61</v>
      </c>
      <c r="G79" s="3">
        <f t="shared" si="45"/>
        <v>-324.25714285714287</v>
      </c>
      <c r="H79" s="3">
        <f t="shared" si="46"/>
        <v>-259.40571428571428</v>
      </c>
      <c r="I79" s="3">
        <f t="shared" si="47"/>
        <v>-25.940571428571431</v>
      </c>
      <c r="J79" s="3">
        <f t="shared" si="48"/>
        <v>-8.6468571428571419</v>
      </c>
      <c r="K79" s="12">
        <f t="shared" si="49"/>
        <v>-0.86468571428571439</v>
      </c>
    </row>
    <row r="80" spans="1:11" x14ac:dyDescent="0.25">
      <c r="A80" t="s">
        <v>6</v>
      </c>
      <c r="B80">
        <v>184613</v>
      </c>
      <c r="C80" s="3">
        <f t="shared" si="43"/>
        <v>5274.6571428571433</v>
      </c>
      <c r="D80" s="5">
        <f t="shared" si="44"/>
        <v>2637.3285714285716</v>
      </c>
      <c r="E80" s="7">
        <v>962</v>
      </c>
      <c r="F80" s="8">
        <v>221</v>
      </c>
      <c r="G80" s="3">
        <f t="shared" si="45"/>
        <v>-1454.3285714285716</v>
      </c>
      <c r="H80" s="3">
        <f t="shared" si="46"/>
        <v>-1163.4628571428573</v>
      </c>
      <c r="I80" s="3">
        <f t="shared" si="47"/>
        <v>-116.34628571428573</v>
      </c>
      <c r="J80" s="3">
        <f t="shared" si="48"/>
        <v>-38.782095238095245</v>
      </c>
      <c r="K80" s="12">
        <f t="shared" si="49"/>
        <v>-3.8782095238095242</v>
      </c>
    </row>
    <row r="81" spans="1:11" x14ac:dyDescent="0.25">
      <c r="A81" t="s">
        <v>7</v>
      </c>
      <c r="B81">
        <v>234107</v>
      </c>
      <c r="C81" s="3">
        <f t="shared" si="43"/>
        <v>6688.7714285714283</v>
      </c>
      <c r="D81" s="5">
        <f t="shared" si="44"/>
        <v>3344.3857142857141</v>
      </c>
      <c r="E81" s="7">
        <v>1480</v>
      </c>
      <c r="F81" s="8">
        <v>158</v>
      </c>
      <c r="G81" s="3">
        <f t="shared" si="45"/>
        <v>-1706.3857142857141</v>
      </c>
      <c r="H81" s="3">
        <f t="shared" si="46"/>
        <v>-1365.1085714285714</v>
      </c>
      <c r="I81" s="3">
        <f t="shared" si="47"/>
        <v>-136.51085714285713</v>
      </c>
      <c r="J81" s="3">
        <f t="shared" si="48"/>
        <v>-45.503619047619047</v>
      </c>
      <c r="K81" s="12">
        <f t="shared" si="49"/>
        <v>-4.5503619047619042</v>
      </c>
    </row>
    <row r="82" spans="1:11" x14ac:dyDescent="0.25">
      <c r="A82" t="s">
        <v>8</v>
      </c>
      <c r="B82">
        <v>48684</v>
      </c>
      <c r="C82" s="3">
        <f t="shared" si="43"/>
        <v>1390.9714285714285</v>
      </c>
      <c r="D82" s="5">
        <f t="shared" si="44"/>
        <v>695.48571428571415</v>
      </c>
      <c r="E82" s="7">
        <v>297</v>
      </c>
      <c r="F82" s="8">
        <v>180</v>
      </c>
      <c r="G82" s="3">
        <f t="shared" si="45"/>
        <v>-218.48571428571415</v>
      </c>
      <c r="H82" s="3">
        <f t="shared" si="46"/>
        <v>-174.78857142857134</v>
      </c>
      <c r="I82" s="3">
        <f t="shared" si="47"/>
        <v>-17.478857142857134</v>
      </c>
      <c r="J82" s="3">
        <f t="shared" si="48"/>
        <v>-5.8262857142857118</v>
      </c>
      <c r="K82" s="12">
        <f t="shared" si="49"/>
        <v>-0.58262857142857116</v>
      </c>
    </row>
    <row r="83" spans="1:11" x14ac:dyDescent="0.25">
      <c r="A83" t="s">
        <v>9</v>
      </c>
      <c r="B83">
        <v>14471</v>
      </c>
      <c r="C83" s="3">
        <f t="shared" si="43"/>
        <v>413.45714285714286</v>
      </c>
      <c r="D83" s="5">
        <f t="shared" si="44"/>
        <v>206.72857142857143</v>
      </c>
      <c r="E83" s="7">
        <v>51</v>
      </c>
      <c r="F83" s="8">
        <v>33</v>
      </c>
      <c r="G83" s="3">
        <f t="shared" si="45"/>
        <v>-122.72857142857143</v>
      </c>
      <c r="H83" s="3">
        <f t="shared" si="46"/>
        <v>-98.182857142857145</v>
      </c>
      <c r="I83" s="3">
        <f t="shared" si="47"/>
        <v>-9.8182857142857145</v>
      </c>
      <c r="J83" s="3">
        <f t="shared" si="48"/>
        <v>-3.272761904761905</v>
      </c>
      <c r="K83" s="12">
        <f t="shared" si="49"/>
        <v>-0.3272761904761905</v>
      </c>
    </row>
    <row r="84" spans="1:11" x14ac:dyDescent="0.25">
      <c r="A84" t="s">
        <v>10</v>
      </c>
      <c r="B84">
        <v>80217</v>
      </c>
      <c r="C84" s="3">
        <f t="shared" si="43"/>
        <v>2291.9142857142856</v>
      </c>
      <c r="D84" s="5">
        <f t="shared" si="44"/>
        <v>1145.9571428571428</v>
      </c>
      <c r="E84" s="7">
        <v>517</v>
      </c>
      <c r="F84" s="8">
        <v>216</v>
      </c>
      <c r="G84" s="3">
        <f t="shared" si="45"/>
        <v>-412.9571428571428</v>
      </c>
      <c r="H84" s="3">
        <f t="shared" si="46"/>
        <v>-330.36571428571426</v>
      </c>
      <c r="I84" s="3">
        <f t="shared" si="47"/>
        <v>-33.036571428571428</v>
      </c>
      <c r="J84" s="3">
        <f t="shared" si="48"/>
        <v>-11.012190476190476</v>
      </c>
      <c r="K84" s="12">
        <f t="shared" si="49"/>
        <v>-1.1012190476190475</v>
      </c>
    </row>
    <row r="85" spans="1:11" x14ac:dyDescent="0.25">
      <c r="A85" t="s">
        <v>11</v>
      </c>
      <c r="B85">
        <v>293171</v>
      </c>
      <c r="C85" s="3">
        <f t="shared" si="43"/>
        <v>8376.3142857142866</v>
      </c>
      <c r="D85" s="5">
        <f t="shared" si="44"/>
        <v>4188.1571428571433</v>
      </c>
      <c r="E85" s="7">
        <v>758</v>
      </c>
      <c r="F85" s="8">
        <v>113</v>
      </c>
      <c r="G85" s="3">
        <f t="shared" si="45"/>
        <v>-3317.1571428571433</v>
      </c>
      <c r="H85" s="3">
        <f t="shared" si="46"/>
        <v>-2653.7257142857147</v>
      </c>
      <c r="I85" s="3">
        <f t="shared" si="47"/>
        <v>-265.37257142857146</v>
      </c>
      <c r="J85" s="3">
        <f t="shared" si="48"/>
        <v>-88.457523809523821</v>
      </c>
      <c r="K85" s="12">
        <f t="shared" si="49"/>
        <v>-8.8457523809523817</v>
      </c>
    </row>
    <row r="86" spans="1:11" x14ac:dyDescent="0.25">
      <c r="A86" t="s">
        <v>12</v>
      </c>
      <c r="B86">
        <v>48514</v>
      </c>
      <c r="C86" s="3">
        <f t="shared" si="43"/>
        <v>1386.1142857142856</v>
      </c>
      <c r="D86" s="5">
        <f t="shared" si="44"/>
        <v>693.05714285714282</v>
      </c>
      <c r="E86" s="7">
        <v>301</v>
      </c>
      <c r="F86" s="8">
        <v>39</v>
      </c>
      <c r="G86" s="3">
        <f>(F86+E86)-D86</f>
        <v>-353.05714285714282</v>
      </c>
      <c r="H86" s="3">
        <f t="shared" si="46"/>
        <v>-282.44571428571425</v>
      </c>
      <c r="I86" s="3">
        <f t="shared" si="47"/>
        <v>-28.244571428571426</v>
      </c>
      <c r="J86" s="3">
        <f t="shared" si="48"/>
        <v>-9.4148571428571408</v>
      </c>
      <c r="K86" s="12">
        <f t="shared" si="49"/>
        <v>-0.94148571428571415</v>
      </c>
    </row>
    <row r="87" spans="1:11" x14ac:dyDescent="0.25">
      <c r="D87" s="3">
        <f>SUM(D78:D86)</f>
        <v>14426.728571428572</v>
      </c>
      <c r="E87" s="3">
        <f>SUM(E78:E86)</f>
        <v>4804</v>
      </c>
      <c r="F87" s="3">
        <f>SUM(F78:F86)</f>
        <v>1085</v>
      </c>
      <c r="G87" s="3">
        <f t="shared" si="45"/>
        <v>-8537.7285714285717</v>
      </c>
      <c r="H87" s="3"/>
      <c r="I87" s="3"/>
      <c r="J87" s="3"/>
    </row>
    <row r="88" spans="1:11" ht="15.75" x14ac:dyDescent="0.25">
      <c r="A88" s="35" t="s">
        <v>21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</row>
    <row r="89" spans="1:11" ht="45" x14ac:dyDescent="0.25">
      <c r="A89" s="1" t="s">
        <v>0</v>
      </c>
      <c r="B89" s="1" t="s">
        <v>25</v>
      </c>
      <c r="C89" s="2" t="s">
        <v>1</v>
      </c>
      <c r="D89" s="4" t="s">
        <v>13</v>
      </c>
      <c r="E89" s="6" t="s">
        <v>24</v>
      </c>
      <c r="F89" s="6" t="s">
        <v>2</v>
      </c>
      <c r="G89" s="1" t="s">
        <v>3</v>
      </c>
      <c r="H89" s="1" t="s">
        <v>28</v>
      </c>
      <c r="I89" s="1" t="s">
        <v>29</v>
      </c>
      <c r="J89" s="11" t="s">
        <v>38</v>
      </c>
      <c r="K89" s="24" t="s">
        <v>37</v>
      </c>
    </row>
    <row r="90" spans="1:11" x14ac:dyDescent="0.25">
      <c r="A90" t="s">
        <v>4</v>
      </c>
      <c r="B90">
        <v>57986</v>
      </c>
      <c r="C90" s="3">
        <f t="shared" ref="C90:C98" si="50">B90/$D$1</f>
        <v>1656.7428571428572</v>
      </c>
      <c r="D90" s="5">
        <f t="shared" ref="D90:D98" si="51">C90*48/$D$2</f>
        <v>828.37142857142862</v>
      </c>
      <c r="E90" s="7">
        <v>178</v>
      </c>
      <c r="F90" s="8">
        <v>37</v>
      </c>
      <c r="G90" s="3">
        <f t="shared" ref="G90:G99" si="52">(F90+E90)-D90</f>
        <v>-613.37142857142862</v>
      </c>
      <c r="H90" s="3">
        <f t="shared" ref="H90:H98" si="53">G90*0.8</f>
        <v>-490.69714285714292</v>
      </c>
      <c r="I90" s="3">
        <f t="shared" ref="I90:I98" si="54">H90*0.1</f>
        <v>-49.069714285714298</v>
      </c>
      <c r="J90" s="3">
        <f t="shared" ref="J90:J98" si="55">IF(H90 &gt; 0,"",H90/30)</f>
        <v>-16.356571428571431</v>
      </c>
      <c r="K90" s="12">
        <f t="shared" ref="K90:K98" si="56">IF(I90 &gt; 0,"",I90/30)</f>
        <v>-1.6356571428571434</v>
      </c>
    </row>
    <row r="91" spans="1:11" x14ac:dyDescent="0.25">
      <c r="A91" t="s">
        <v>5</v>
      </c>
      <c r="B91">
        <v>48108</v>
      </c>
      <c r="C91" s="3">
        <f t="shared" si="50"/>
        <v>1374.5142857142857</v>
      </c>
      <c r="D91" s="5">
        <f t="shared" si="51"/>
        <v>687.25714285714287</v>
      </c>
      <c r="E91" s="7">
        <v>234</v>
      </c>
      <c r="F91" s="8">
        <v>100</v>
      </c>
      <c r="G91" s="3">
        <f t="shared" si="52"/>
        <v>-353.25714285714287</v>
      </c>
      <c r="H91" s="3">
        <f t="shared" si="53"/>
        <v>-282.60571428571433</v>
      </c>
      <c r="I91" s="3">
        <f t="shared" si="54"/>
        <v>-28.260571428571435</v>
      </c>
      <c r="J91" s="3">
        <f t="shared" si="55"/>
        <v>-9.4201904761904771</v>
      </c>
      <c r="K91" s="12">
        <f t="shared" si="56"/>
        <v>-0.94201904761904787</v>
      </c>
    </row>
    <row r="92" spans="1:11" x14ac:dyDescent="0.25">
      <c r="A92" t="s">
        <v>6</v>
      </c>
      <c r="B92">
        <v>184613</v>
      </c>
      <c r="C92" s="3">
        <f t="shared" si="50"/>
        <v>5274.6571428571433</v>
      </c>
      <c r="D92" s="5">
        <f t="shared" si="51"/>
        <v>2637.3285714285716</v>
      </c>
      <c r="E92" s="7">
        <v>710</v>
      </c>
      <c r="F92" s="8">
        <v>57</v>
      </c>
      <c r="G92" s="3">
        <f t="shared" si="52"/>
        <v>-1870.3285714285716</v>
      </c>
      <c r="H92" s="3">
        <f t="shared" si="53"/>
        <v>-1496.2628571428575</v>
      </c>
      <c r="I92" s="3">
        <f t="shared" si="54"/>
        <v>-149.62628571428576</v>
      </c>
      <c r="J92" s="3">
        <f t="shared" si="55"/>
        <v>-49.875428571428579</v>
      </c>
      <c r="K92" s="12">
        <f t="shared" si="56"/>
        <v>-4.9875428571428584</v>
      </c>
    </row>
    <row r="93" spans="1:11" x14ac:dyDescent="0.25">
      <c r="A93" t="s">
        <v>7</v>
      </c>
      <c r="B93">
        <v>234107</v>
      </c>
      <c r="C93" s="3">
        <f t="shared" si="50"/>
        <v>6688.7714285714283</v>
      </c>
      <c r="D93" s="5">
        <f t="shared" si="51"/>
        <v>3344.3857142857141</v>
      </c>
      <c r="E93" s="7">
        <v>1073</v>
      </c>
      <c r="F93" s="8">
        <v>0</v>
      </c>
      <c r="G93" s="3">
        <f t="shared" si="52"/>
        <v>-2271.3857142857141</v>
      </c>
      <c r="H93" s="3">
        <f t="shared" si="53"/>
        <v>-1817.1085714285714</v>
      </c>
      <c r="I93" s="3">
        <f t="shared" si="54"/>
        <v>-181.71085714285715</v>
      </c>
      <c r="J93" s="3">
        <f t="shared" si="55"/>
        <v>-60.57028571428571</v>
      </c>
      <c r="K93" s="12">
        <f t="shared" si="56"/>
        <v>-6.0570285714285719</v>
      </c>
    </row>
    <row r="94" spans="1:11" x14ac:dyDescent="0.25">
      <c r="A94" t="s">
        <v>8</v>
      </c>
      <c r="B94">
        <v>48684</v>
      </c>
      <c r="C94" s="3">
        <f t="shared" si="50"/>
        <v>1390.9714285714285</v>
      </c>
      <c r="D94" s="5">
        <f t="shared" si="51"/>
        <v>695.48571428571415</v>
      </c>
      <c r="E94" s="7">
        <v>229</v>
      </c>
      <c r="F94" s="8">
        <v>31</v>
      </c>
      <c r="G94" s="3">
        <f t="shared" si="52"/>
        <v>-435.48571428571415</v>
      </c>
      <c r="H94" s="3">
        <f t="shared" si="53"/>
        <v>-348.38857142857137</v>
      </c>
      <c r="I94" s="3">
        <f t="shared" si="54"/>
        <v>-34.838857142857137</v>
      </c>
      <c r="J94" s="3">
        <f t="shared" si="55"/>
        <v>-11.612952380952379</v>
      </c>
      <c r="K94" s="12">
        <f t="shared" si="56"/>
        <v>-1.1612952380952379</v>
      </c>
    </row>
    <row r="95" spans="1:11" x14ac:dyDescent="0.25">
      <c r="A95" t="s">
        <v>9</v>
      </c>
      <c r="B95">
        <v>14471</v>
      </c>
      <c r="C95" s="3">
        <f t="shared" si="50"/>
        <v>413.45714285714286</v>
      </c>
      <c r="D95" s="5">
        <f t="shared" si="51"/>
        <v>206.72857142857143</v>
      </c>
      <c r="E95" s="7">
        <v>62</v>
      </c>
      <c r="F95" s="8">
        <v>0</v>
      </c>
      <c r="G95" s="3">
        <f t="shared" si="52"/>
        <v>-144.72857142857143</v>
      </c>
      <c r="H95" s="3">
        <f t="shared" si="53"/>
        <v>-115.78285714285715</v>
      </c>
      <c r="I95" s="3">
        <f t="shared" si="54"/>
        <v>-11.578285714285716</v>
      </c>
      <c r="J95" s="3">
        <f t="shared" si="55"/>
        <v>-3.8594285714285719</v>
      </c>
      <c r="K95" s="12">
        <f t="shared" si="56"/>
        <v>-0.3859428571428572</v>
      </c>
    </row>
    <row r="96" spans="1:11" x14ac:dyDescent="0.25">
      <c r="A96" t="s">
        <v>10</v>
      </c>
      <c r="B96">
        <v>80217</v>
      </c>
      <c r="C96" s="3">
        <f t="shared" si="50"/>
        <v>2291.9142857142856</v>
      </c>
      <c r="D96" s="5">
        <f t="shared" si="51"/>
        <v>1145.9571428571428</v>
      </c>
      <c r="E96" s="7">
        <v>307</v>
      </c>
      <c r="F96" s="8">
        <v>30</v>
      </c>
      <c r="G96" s="3">
        <f t="shared" si="52"/>
        <v>-808.9571428571428</v>
      </c>
      <c r="H96" s="3">
        <f t="shared" si="53"/>
        <v>-647.16571428571433</v>
      </c>
      <c r="I96" s="3">
        <f t="shared" si="54"/>
        <v>-64.716571428571442</v>
      </c>
      <c r="J96" s="3">
        <f t="shared" si="55"/>
        <v>-21.572190476190478</v>
      </c>
      <c r="K96" s="12">
        <f t="shared" si="56"/>
        <v>-2.1572190476190483</v>
      </c>
    </row>
    <row r="97" spans="1:11" x14ac:dyDescent="0.25">
      <c r="A97" t="s">
        <v>11</v>
      </c>
      <c r="B97">
        <v>293171</v>
      </c>
      <c r="C97" s="3">
        <f t="shared" si="50"/>
        <v>8376.3142857142866</v>
      </c>
      <c r="D97" s="5">
        <f t="shared" si="51"/>
        <v>4188.1571428571433</v>
      </c>
      <c r="E97" s="7">
        <v>685</v>
      </c>
      <c r="F97" s="8">
        <v>29</v>
      </c>
      <c r="G97" s="3">
        <f t="shared" si="52"/>
        <v>-3474.1571428571433</v>
      </c>
      <c r="H97" s="3">
        <f t="shared" si="53"/>
        <v>-2779.3257142857146</v>
      </c>
      <c r="I97" s="3">
        <f t="shared" si="54"/>
        <v>-277.93257142857146</v>
      </c>
      <c r="J97" s="3">
        <f t="shared" si="55"/>
        <v>-92.644190476190488</v>
      </c>
      <c r="K97" s="12">
        <f t="shared" si="56"/>
        <v>-9.2644190476190484</v>
      </c>
    </row>
    <row r="98" spans="1:11" x14ac:dyDescent="0.25">
      <c r="A98" t="s">
        <v>12</v>
      </c>
      <c r="B98">
        <v>48514</v>
      </c>
      <c r="C98" s="3">
        <f t="shared" si="50"/>
        <v>1386.1142857142856</v>
      </c>
      <c r="D98" s="5">
        <f t="shared" si="51"/>
        <v>693.05714285714282</v>
      </c>
      <c r="E98" s="7">
        <v>260</v>
      </c>
      <c r="F98" s="8">
        <v>0</v>
      </c>
      <c r="G98" s="3">
        <f t="shared" si="52"/>
        <v>-433.05714285714282</v>
      </c>
      <c r="H98" s="3">
        <f t="shared" si="53"/>
        <v>-346.4457142857143</v>
      </c>
      <c r="I98" s="3">
        <f t="shared" si="54"/>
        <v>-34.644571428571432</v>
      </c>
      <c r="J98" s="3">
        <f t="shared" si="55"/>
        <v>-11.548190476190477</v>
      </c>
      <c r="K98" s="12">
        <f t="shared" si="56"/>
        <v>-1.1548190476190476</v>
      </c>
    </row>
    <row r="99" spans="1:11" x14ac:dyDescent="0.25">
      <c r="D99" s="3">
        <f>SUM(D90:D98)</f>
        <v>14426.728571428572</v>
      </c>
      <c r="E99" s="3">
        <f>SUM(E90:E98)</f>
        <v>3738</v>
      </c>
      <c r="F99" s="3">
        <f>SUM(F90:F98)</f>
        <v>284</v>
      </c>
      <c r="G99" s="3">
        <f t="shared" si="52"/>
        <v>-10404.728571428572</v>
      </c>
      <c r="H99" s="3"/>
      <c r="I99" s="3"/>
      <c r="J99" s="3"/>
    </row>
    <row r="100" spans="1:11" ht="15.75" x14ac:dyDescent="0.25">
      <c r="A100" s="35" t="s">
        <v>22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</row>
    <row r="101" spans="1:11" ht="45" x14ac:dyDescent="0.25">
      <c r="A101" s="1" t="s">
        <v>0</v>
      </c>
      <c r="B101" s="1" t="s">
        <v>25</v>
      </c>
      <c r="C101" s="2" t="s">
        <v>1</v>
      </c>
      <c r="D101" s="4" t="s">
        <v>13</v>
      </c>
      <c r="E101" s="6" t="s">
        <v>24</v>
      </c>
      <c r="F101" s="6" t="s">
        <v>2</v>
      </c>
      <c r="G101" s="1" t="s">
        <v>3</v>
      </c>
      <c r="H101" s="1" t="s">
        <v>28</v>
      </c>
      <c r="I101" s="1" t="s">
        <v>29</v>
      </c>
      <c r="J101" s="11" t="s">
        <v>38</v>
      </c>
      <c r="K101" s="24" t="s">
        <v>37</v>
      </c>
    </row>
    <row r="102" spans="1:11" x14ac:dyDescent="0.25">
      <c r="A102" t="s">
        <v>4</v>
      </c>
      <c r="B102">
        <v>57986</v>
      </c>
      <c r="C102" s="3">
        <f t="shared" ref="C102:C110" si="57">B102/$D$1</f>
        <v>1656.7428571428572</v>
      </c>
      <c r="D102" s="5">
        <f t="shared" ref="D102:D110" si="58">C102*48/$D$2</f>
        <v>828.37142857142862</v>
      </c>
      <c r="E102" s="7">
        <v>174</v>
      </c>
      <c r="F102" s="8">
        <v>0</v>
      </c>
      <c r="G102" s="3">
        <f t="shared" ref="G102:G111" si="59">(F102+E102)-D102</f>
        <v>-654.37142857142862</v>
      </c>
      <c r="H102" s="3">
        <f t="shared" ref="H102:H110" si="60">G102*0.8</f>
        <v>-523.49714285714288</v>
      </c>
      <c r="I102" s="3">
        <f t="shared" ref="I102:I110" si="61">H102*0.1</f>
        <v>-52.349714285714292</v>
      </c>
      <c r="J102" s="3">
        <f t="shared" ref="J102:J110" si="62">IF(H102 &gt; 0,"",H102/30)</f>
        <v>-17.449904761904762</v>
      </c>
      <c r="K102" s="12">
        <f t="shared" ref="K102:K110" si="63">IF(I102 &gt; 0,"",I102/30)</f>
        <v>-1.7449904761904764</v>
      </c>
    </row>
    <row r="103" spans="1:11" x14ac:dyDescent="0.25">
      <c r="A103" t="s">
        <v>5</v>
      </c>
      <c r="B103">
        <v>48108</v>
      </c>
      <c r="C103" s="3">
        <f t="shared" si="57"/>
        <v>1374.5142857142857</v>
      </c>
      <c r="D103" s="5">
        <f t="shared" si="58"/>
        <v>687.25714285714287</v>
      </c>
      <c r="E103" s="7">
        <v>129</v>
      </c>
      <c r="F103" s="8">
        <v>27</v>
      </c>
      <c r="G103" s="3">
        <f t="shared" si="59"/>
        <v>-531.25714285714287</v>
      </c>
      <c r="H103" s="3">
        <f t="shared" si="60"/>
        <v>-425.0057142857143</v>
      </c>
      <c r="I103" s="3">
        <f t="shared" si="61"/>
        <v>-42.500571428571433</v>
      </c>
      <c r="J103" s="3">
        <f t="shared" si="62"/>
        <v>-14.166857142857143</v>
      </c>
      <c r="K103" s="12">
        <f t="shared" si="63"/>
        <v>-1.4166857142857145</v>
      </c>
    </row>
    <row r="104" spans="1:11" x14ac:dyDescent="0.25">
      <c r="A104" t="s">
        <v>6</v>
      </c>
      <c r="B104">
        <v>184613</v>
      </c>
      <c r="C104" s="3">
        <f t="shared" si="57"/>
        <v>5274.6571428571433</v>
      </c>
      <c r="D104" s="5">
        <f t="shared" si="58"/>
        <v>2637.3285714285716</v>
      </c>
      <c r="E104" s="7">
        <v>449</v>
      </c>
      <c r="F104" s="8">
        <v>98</v>
      </c>
      <c r="G104" s="3">
        <f t="shared" si="59"/>
        <v>-2090.3285714285716</v>
      </c>
      <c r="H104" s="3">
        <f t="shared" si="60"/>
        <v>-1672.2628571428575</v>
      </c>
      <c r="I104" s="3">
        <f t="shared" si="61"/>
        <v>-167.22628571428575</v>
      </c>
      <c r="J104" s="3">
        <f t="shared" si="62"/>
        <v>-55.742095238095246</v>
      </c>
      <c r="K104" s="12">
        <f t="shared" si="63"/>
        <v>-5.5742095238095253</v>
      </c>
    </row>
    <row r="105" spans="1:11" x14ac:dyDescent="0.25">
      <c r="A105" t="s">
        <v>7</v>
      </c>
      <c r="B105">
        <v>234107</v>
      </c>
      <c r="C105" s="3">
        <f t="shared" si="57"/>
        <v>6688.7714285714283</v>
      </c>
      <c r="D105" s="5">
        <f t="shared" si="58"/>
        <v>3344.3857142857141</v>
      </c>
      <c r="E105" s="7">
        <v>815</v>
      </c>
      <c r="F105" s="8">
        <v>33</v>
      </c>
      <c r="G105" s="3">
        <f t="shared" si="59"/>
        <v>-2496.3857142857141</v>
      </c>
      <c r="H105" s="3">
        <f t="shared" si="60"/>
        <v>-1997.1085714285714</v>
      </c>
      <c r="I105" s="3">
        <f t="shared" si="61"/>
        <v>-199.71085714285715</v>
      </c>
      <c r="J105" s="3">
        <f t="shared" si="62"/>
        <v>-66.570285714285717</v>
      </c>
      <c r="K105" s="12">
        <f t="shared" si="63"/>
        <v>-6.6570285714285715</v>
      </c>
    </row>
    <row r="106" spans="1:11" x14ac:dyDescent="0.25">
      <c r="A106" t="s">
        <v>8</v>
      </c>
      <c r="B106">
        <v>48684</v>
      </c>
      <c r="C106" s="3">
        <f t="shared" si="57"/>
        <v>1390.9714285714285</v>
      </c>
      <c r="D106" s="5">
        <f t="shared" si="58"/>
        <v>695.48571428571415</v>
      </c>
      <c r="E106" s="7">
        <v>184</v>
      </c>
      <c r="F106" s="8">
        <v>26</v>
      </c>
      <c r="G106" s="3">
        <f t="shared" si="59"/>
        <v>-485.48571428571415</v>
      </c>
      <c r="H106" s="3">
        <f t="shared" si="60"/>
        <v>-388.38857142857137</v>
      </c>
      <c r="I106" s="3">
        <f t="shared" si="61"/>
        <v>-38.838857142857137</v>
      </c>
      <c r="J106" s="3">
        <f t="shared" si="62"/>
        <v>-12.946285714285713</v>
      </c>
      <c r="K106" s="12">
        <f t="shared" si="63"/>
        <v>-1.2946285714285712</v>
      </c>
    </row>
    <row r="107" spans="1:11" x14ac:dyDescent="0.25">
      <c r="A107" t="s">
        <v>9</v>
      </c>
      <c r="B107">
        <v>14471</v>
      </c>
      <c r="C107" s="3">
        <f t="shared" si="57"/>
        <v>413.45714285714286</v>
      </c>
      <c r="D107" s="5">
        <f t="shared" si="58"/>
        <v>206.72857142857143</v>
      </c>
      <c r="E107" s="7">
        <v>68</v>
      </c>
      <c r="F107" s="8">
        <v>0</v>
      </c>
      <c r="G107" s="3">
        <f t="shared" si="59"/>
        <v>-138.72857142857143</v>
      </c>
      <c r="H107" s="3">
        <f t="shared" si="60"/>
        <v>-110.98285714285714</v>
      </c>
      <c r="I107" s="3">
        <f t="shared" si="61"/>
        <v>-11.098285714285716</v>
      </c>
      <c r="J107" s="3">
        <f t="shared" si="62"/>
        <v>-3.6994285714285713</v>
      </c>
      <c r="K107" s="12">
        <f t="shared" si="63"/>
        <v>-0.36994285714285718</v>
      </c>
    </row>
    <row r="108" spans="1:11" x14ac:dyDescent="0.25">
      <c r="A108" t="s">
        <v>10</v>
      </c>
      <c r="B108">
        <v>80217</v>
      </c>
      <c r="C108" s="3">
        <f t="shared" si="57"/>
        <v>2291.9142857142856</v>
      </c>
      <c r="D108" s="5">
        <f t="shared" si="58"/>
        <v>1145.9571428571428</v>
      </c>
      <c r="E108" s="7">
        <v>334</v>
      </c>
      <c r="F108" s="8">
        <v>39</v>
      </c>
      <c r="G108" s="3">
        <f t="shared" si="59"/>
        <v>-772.9571428571428</v>
      </c>
      <c r="H108" s="3">
        <f t="shared" si="60"/>
        <v>-618.36571428571426</v>
      </c>
      <c r="I108" s="3">
        <f t="shared" si="61"/>
        <v>-61.836571428571432</v>
      </c>
      <c r="J108" s="3">
        <f t="shared" si="62"/>
        <v>-20.612190476190474</v>
      </c>
      <c r="K108" s="12">
        <f t="shared" si="63"/>
        <v>-2.0612190476190477</v>
      </c>
    </row>
    <row r="109" spans="1:11" x14ac:dyDescent="0.25">
      <c r="A109" t="s">
        <v>11</v>
      </c>
      <c r="B109">
        <v>293171</v>
      </c>
      <c r="C109" s="3">
        <f t="shared" si="57"/>
        <v>8376.3142857142866</v>
      </c>
      <c r="D109" s="5">
        <f t="shared" si="58"/>
        <v>4188.1571428571433</v>
      </c>
      <c r="E109" s="7">
        <v>513</v>
      </c>
      <c r="F109" s="8">
        <v>0</v>
      </c>
      <c r="G109" s="3">
        <f t="shared" si="59"/>
        <v>-3675.1571428571433</v>
      </c>
      <c r="H109" s="3">
        <f t="shared" si="60"/>
        <v>-2940.1257142857148</v>
      </c>
      <c r="I109" s="3">
        <f t="shared" si="61"/>
        <v>-294.0125714285715</v>
      </c>
      <c r="J109" s="3">
        <f t="shared" si="62"/>
        <v>-98.004190476190487</v>
      </c>
      <c r="K109" s="12">
        <f t="shared" si="63"/>
        <v>-9.8004190476190498</v>
      </c>
    </row>
    <row r="110" spans="1:11" x14ac:dyDescent="0.25">
      <c r="A110" t="s">
        <v>12</v>
      </c>
      <c r="B110">
        <v>48514</v>
      </c>
      <c r="C110" s="3">
        <f t="shared" si="57"/>
        <v>1386.1142857142856</v>
      </c>
      <c r="D110" s="5">
        <f t="shared" si="58"/>
        <v>693.05714285714282</v>
      </c>
      <c r="E110" s="7">
        <v>199</v>
      </c>
      <c r="F110" s="8">
        <v>48</v>
      </c>
      <c r="G110" s="3">
        <f t="shared" si="59"/>
        <v>-446.05714285714282</v>
      </c>
      <c r="H110" s="3">
        <f t="shared" si="60"/>
        <v>-356.84571428571428</v>
      </c>
      <c r="I110" s="3">
        <f t="shared" si="61"/>
        <v>-35.684571428571431</v>
      </c>
      <c r="J110" s="3">
        <f t="shared" si="62"/>
        <v>-11.894857142857143</v>
      </c>
      <c r="K110" s="12">
        <f t="shared" si="63"/>
        <v>-1.1894857142857143</v>
      </c>
    </row>
    <row r="111" spans="1:11" x14ac:dyDescent="0.25">
      <c r="D111" s="3">
        <f>SUM(D102:D110)</f>
        <v>14426.728571428572</v>
      </c>
      <c r="E111" s="3">
        <f>SUM(E102:E110)</f>
        <v>2865</v>
      </c>
      <c r="F111" s="3">
        <f>SUM(F102:F110)</f>
        <v>271</v>
      </c>
      <c r="G111" s="3">
        <f t="shared" si="59"/>
        <v>-11290.728571428572</v>
      </c>
      <c r="H111" s="3"/>
      <c r="I111" s="3"/>
      <c r="J111" s="3"/>
    </row>
    <row r="112" spans="1:11" ht="15.75" x14ac:dyDescent="0.25">
      <c r="A112" s="35" t="s">
        <v>23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</row>
    <row r="113" spans="1:11" ht="45" x14ac:dyDescent="0.25">
      <c r="A113" s="1" t="s">
        <v>0</v>
      </c>
      <c r="B113" s="1" t="s">
        <v>25</v>
      </c>
      <c r="C113" s="2" t="s">
        <v>1</v>
      </c>
      <c r="D113" s="4" t="s">
        <v>13</v>
      </c>
      <c r="E113" s="6" t="s">
        <v>24</v>
      </c>
      <c r="F113" s="6" t="s">
        <v>2</v>
      </c>
      <c r="G113" s="1" t="s">
        <v>3</v>
      </c>
      <c r="H113" s="1" t="s">
        <v>28</v>
      </c>
      <c r="I113" s="1" t="s">
        <v>29</v>
      </c>
      <c r="J113" s="11" t="s">
        <v>38</v>
      </c>
      <c r="K113" s="24" t="s">
        <v>37</v>
      </c>
    </row>
    <row r="114" spans="1:11" x14ac:dyDescent="0.25">
      <c r="A114" t="s">
        <v>4</v>
      </c>
      <c r="B114">
        <v>57986</v>
      </c>
      <c r="C114" s="3">
        <f t="shared" ref="C114:C122" si="64">B114/$D$1</f>
        <v>1656.7428571428572</v>
      </c>
      <c r="D114" s="5">
        <f t="shared" ref="D114:D122" si="65">C114*48/$D$2</f>
        <v>828.37142857142862</v>
      </c>
      <c r="E114" s="7">
        <v>107</v>
      </c>
      <c r="F114" s="8">
        <v>31</v>
      </c>
      <c r="G114" s="3">
        <f t="shared" ref="G114:G123" si="66">(F114+E114)-D114</f>
        <v>-690.37142857142862</v>
      </c>
      <c r="H114" s="3">
        <f t="shared" ref="H114:H122" si="67">G114*0.8</f>
        <v>-552.29714285714294</v>
      </c>
      <c r="I114" s="3">
        <f t="shared" ref="I114:I122" si="68">H114*0.1</f>
        <v>-55.229714285714294</v>
      </c>
      <c r="J114" s="3">
        <f t="shared" ref="J114:J122" si="69">IF(H114 &gt; 0,"",H114/30)</f>
        <v>-18.409904761904766</v>
      </c>
      <c r="K114" s="12">
        <f t="shared" ref="K114:K122" si="70">IF(I114 &gt; 0,"",I114/30)</f>
        <v>-1.8409904761904765</v>
      </c>
    </row>
    <row r="115" spans="1:11" x14ac:dyDescent="0.25">
      <c r="A115" t="s">
        <v>5</v>
      </c>
      <c r="B115">
        <v>48108</v>
      </c>
      <c r="C115" s="3">
        <f t="shared" si="64"/>
        <v>1374.5142857142857</v>
      </c>
      <c r="D115" s="5">
        <f t="shared" si="65"/>
        <v>687.25714285714287</v>
      </c>
      <c r="E115" s="7">
        <v>283</v>
      </c>
      <c r="F115" s="8">
        <v>31</v>
      </c>
      <c r="G115" s="3">
        <f t="shared" si="66"/>
        <v>-373.25714285714287</v>
      </c>
      <c r="H115" s="3">
        <f t="shared" si="67"/>
        <v>-298.60571428571433</v>
      </c>
      <c r="I115" s="3">
        <f t="shared" si="68"/>
        <v>-29.860571428571433</v>
      </c>
      <c r="J115" s="3">
        <f t="shared" si="69"/>
        <v>-9.9535238095238103</v>
      </c>
      <c r="K115" s="12">
        <f t="shared" si="70"/>
        <v>-0.9953523809523811</v>
      </c>
    </row>
    <row r="116" spans="1:11" x14ac:dyDescent="0.25">
      <c r="A116" t="s">
        <v>6</v>
      </c>
      <c r="B116">
        <v>184613</v>
      </c>
      <c r="C116" s="3">
        <f t="shared" si="64"/>
        <v>5274.6571428571433</v>
      </c>
      <c r="D116" s="5">
        <f t="shared" si="65"/>
        <v>2637.3285714285716</v>
      </c>
      <c r="E116" s="7">
        <v>848</v>
      </c>
      <c r="F116" s="8">
        <v>94</v>
      </c>
      <c r="G116" s="3">
        <f t="shared" si="66"/>
        <v>-1695.3285714285716</v>
      </c>
      <c r="H116" s="3">
        <f t="shared" si="67"/>
        <v>-1356.2628571428575</v>
      </c>
      <c r="I116" s="3">
        <f t="shared" si="68"/>
        <v>-135.62628571428576</v>
      </c>
      <c r="J116" s="3">
        <f t="shared" si="69"/>
        <v>-45.208761904761914</v>
      </c>
      <c r="K116" s="12">
        <f t="shared" si="70"/>
        <v>-4.5208761904761916</v>
      </c>
    </row>
    <row r="117" spans="1:11" x14ac:dyDescent="0.25">
      <c r="A117" t="s">
        <v>7</v>
      </c>
      <c r="B117">
        <v>234107</v>
      </c>
      <c r="C117" s="3">
        <f t="shared" si="64"/>
        <v>6688.7714285714283</v>
      </c>
      <c r="D117" s="5">
        <f t="shared" si="65"/>
        <v>3344.3857142857141</v>
      </c>
      <c r="E117" s="7">
        <v>1103</v>
      </c>
      <c r="F117" s="8">
        <v>145</v>
      </c>
      <c r="G117" s="3">
        <f t="shared" si="66"/>
        <v>-2096.3857142857141</v>
      </c>
      <c r="H117" s="3">
        <f t="shared" si="67"/>
        <v>-1677.1085714285714</v>
      </c>
      <c r="I117" s="3">
        <f t="shared" si="68"/>
        <v>-167.71085714285715</v>
      </c>
      <c r="J117" s="3">
        <f t="shared" si="69"/>
        <v>-55.903619047619046</v>
      </c>
      <c r="K117" s="12">
        <f t="shared" si="70"/>
        <v>-5.5903619047619051</v>
      </c>
    </row>
    <row r="118" spans="1:11" x14ac:dyDescent="0.25">
      <c r="A118" t="s">
        <v>8</v>
      </c>
      <c r="B118">
        <v>48684</v>
      </c>
      <c r="C118" s="3">
        <f t="shared" si="64"/>
        <v>1390.9714285714285</v>
      </c>
      <c r="D118" s="5">
        <f t="shared" si="65"/>
        <v>695.48571428571415</v>
      </c>
      <c r="E118" s="7">
        <v>269</v>
      </c>
      <c r="F118" s="8">
        <v>59</v>
      </c>
      <c r="G118" s="3">
        <f t="shared" si="66"/>
        <v>-367.48571428571415</v>
      </c>
      <c r="H118" s="3">
        <f t="shared" si="67"/>
        <v>-293.98857142857133</v>
      </c>
      <c r="I118" s="3">
        <f t="shared" si="68"/>
        <v>-29.398857142857135</v>
      </c>
      <c r="J118" s="3">
        <f t="shared" si="69"/>
        <v>-9.7996190476190446</v>
      </c>
      <c r="K118" s="12">
        <f t="shared" si="70"/>
        <v>-0.97996190476190448</v>
      </c>
    </row>
    <row r="119" spans="1:11" x14ac:dyDescent="0.25">
      <c r="A119" t="s">
        <v>9</v>
      </c>
      <c r="B119">
        <v>14471</v>
      </c>
      <c r="C119" s="3">
        <f t="shared" si="64"/>
        <v>413.45714285714286</v>
      </c>
      <c r="D119" s="5">
        <f t="shared" si="65"/>
        <v>206.72857142857143</v>
      </c>
      <c r="E119" s="7">
        <v>29</v>
      </c>
      <c r="F119" s="8">
        <v>23</v>
      </c>
      <c r="G119" s="3">
        <f t="shared" si="66"/>
        <v>-154.72857142857143</v>
      </c>
      <c r="H119" s="3">
        <f t="shared" si="67"/>
        <v>-123.78285714285715</v>
      </c>
      <c r="I119" s="3">
        <f t="shared" si="68"/>
        <v>-12.378285714285717</v>
      </c>
      <c r="J119" s="3">
        <f t="shared" si="69"/>
        <v>-4.126095238095238</v>
      </c>
      <c r="K119" s="12">
        <f t="shared" si="70"/>
        <v>-0.41260952380952387</v>
      </c>
    </row>
    <row r="120" spans="1:11" x14ac:dyDescent="0.25">
      <c r="A120" t="s">
        <v>10</v>
      </c>
      <c r="B120">
        <v>80217</v>
      </c>
      <c r="C120" s="3">
        <f t="shared" si="64"/>
        <v>2291.9142857142856</v>
      </c>
      <c r="D120" s="5">
        <f t="shared" si="65"/>
        <v>1145.9571428571428</v>
      </c>
      <c r="E120" s="7">
        <v>333</v>
      </c>
      <c r="F120" s="8">
        <v>53</v>
      </c>
      <c r="G120" s="3">
        <f t="shared" si="66"/>
        <v>-759.9571428571428</v>
      </c>
      <c r="H120" s="3">
        <f t="shared" si="67"/>
        <v>-607.96571428571428</v>
      </c>
      <c r="I120" s="3">
        <f t="shared" si="68"/>
        <v>-60.796571428571433</v>
      </c>
      <c r="J120" s="3">
        <f t="shared" si="69"/>
        <v>-20.26552380952381</v>
      </c>
      <c r="K120" s="12">
        <f t="shared" si="70"/>
        <v>-2.0265523809523809</v>
      </c>
    </row>
    <row r="121" spans="1:11" x14ac:dyDescent="0.25">
      <c r="A121" t="s">
        <v>11</v>
      </c>
      <c r="B121">
        <v>293171</v>
      </c>
      <c r="C121" s="3">
        <f t="shared" si="64"/>
        <v>8376.3142857142866</v>
      </c>
      <c r="D121" s="5">
        <f t="shared" si="65"/>
        <v>4188.1571428571433</v>
      </c>
      <c r="E121" s="7">
        <v>700</v>
      </c>
      <c r="F121" s="8">
        <v>116</v>
      </c>
      <c r="G121" s="3">
        <f t="shared" si="66"/>
        <v>-3372.1571428571433</v>
      </c>
      <c r="H121" s="3">
        <f t="shared" si="67"/>
        <v>-2697.7257142857147</v>
      </c>
      <c r="I121" s="3">
        <f t="shared" si="68"/>
        <v>-269.7725714285715</v>
      </c>
      <c r="J121" s="3">
        <f t="shared" si="69"/>
        <v>-89.924190476190489</v>
      </c>
      <c r="K121" s="12">
        <f t="shared" si="70"/>
        <v>-8.99241904761905</v>
      </c>
    </row>
    <row r="122" spans="1:11" x14ac:dyDescent="0.25">
      <c r="A122" t="s">
        <v>12</v>
      </c>
      <c r="B122">
        <v>48514</v>
      </c>
      <c r="C122" s="3">
        <f t="shared" si="64"/>
        <v>1386.1142857142856</v>
      </c>
      <c r="D122" s="5">
        <f t="shared" si="65"/>
        <v>693.05714285714282</v>
      </c>
      <c r="E122" s="7">
        <v>229</v>
      </c>
      <c r="F122" s="8">
        <v>91</v>
      </c>
      <c r="G122" s="3">
        <f t="shared" si="66"/>
        <v>-373.05714285714282</v>
      </c>
      <c r="H122" s="3">
        <f t="shared" si="67"/>
        <v>-298.44571428571425</v>
      </c>
      <c r="I122" s="3">
        <f t="shared" si="68"/>
        <v>-29.844571428571427</v>
      </c>
      <c r="J122" s="3">
        <f t="shared" si="69"/>
        <v>-9.948190476190474</v>
      </c>
      <c r="K122" s="12">
        <f t="shared" si="70"/>
        <v>-0.9948190476190476</v>
      </c>
    </row>
    <row r="123" spans="1:11" x14ac:dyDescent="0.25">
      <c r="D123" s="3">
        <f>SUM(D114:D122)</f>
        <v>14426.728571428572</v>
      </c>
      <c r="E123" s="3">
        <f>SUM(E114:E122)</f>
        <v>3901</v>
      </c>
      <c r="F123" s="3">
        <f>SUM(F114:F122)</f>
        <v>643</v>
      </c>
      <c r="G123" s="3">
        <f t="shared" si="66"/>
        <v>-9882.7285714285717</v>
      </c>
      <c r="H123" s="3"/>
      <c r="I123" s="3"/>
      <c r="J123" s="3"/>
    </row>
    <row r="124" spans="1:11" ht="15.75" x14ac:dyDescent="0.25">
      <c r="A124" s="35" t="s">
        <v>36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</row>
    <row r="125" spans="1:11" ht="45" x14ac:dyDescent="0.25">
      <c r="A125" s="1" t="s">
        <v>0</v>
      </c>
      <c r="B125" s="1" t="s">
        <v>25</v>
      </c>
      <c r="C125" s="2" t="s">
        <v>1</v>
      </c>
      <c r="D125" s="4" t="s">
        <v>13</v>
      </c>
      <c r="E125" s="6" t="s">
        <v>24</v>
      </c>
      <c r="F125" s="6" t="s">
        <v>2</v>
      </c>
      <c r="G125" s="1" t="s">
        <v>3</v>
      </c>
      <c r="H125" s="1" t="s">
        <v>28</v>
      </c>
      <c r="I125" s="1" t="s">
        <v>29</v>
      </c>
      <c r="J125" s="11" t="s">
        <v>38</v>
      </c>
      <c r="K125" s="24" t="s">
        <v>37</v>
      </c>
    </row>
    <row r="126" spans="1:11" x14ac:dyDescent="0.25">
      <c r="A126" t="s">
        <v>4</v>
      </c>
      <c r="B126">
        <v>57986</v>
      </c>
      <c r="C126" s="3">
        <f t="shared" ref="C126:C134" si="71">B126/$D$1</f>
        <v>1656.7428571428572</v>
      </c>
      <c r="D126" s="5">
        <f>C126*128/$D$2</f>
        <v>2208.9904761904763</v>
      </c>
      <c r="E126" s="7">
        <v>626</v>
      </c>
      <c r="F126" s="8">
        <v>95</v>
      </c>
      <c r="G126" s="3">
        <f t="shared" ref="G126:G135" si="72">(F126+E126)-D126</f>
        <v>-1487.9904761904763</v>
      </c>
      <c r="H126" s="3">
        <f t="shared" ref="H126:H134" si="73">G126*0.8</f>
        <v>-1190.392380952381</v>
      </c>
      <c r="I126" s="3">
        <f t="shared" ref="I126:I134" si="74">H126*0.1</f>
        <v>-119.0392380952381</v>
      </c>
      <c r="J126" s="3">
        <f t="shared" ref="J126:J134" si="75">IF(H126 &gt; 0,"",H126/30)</f>
        <v>-39.679746031746035</v>
      </c>
      <c r="K126" s="12">
        <f t="shared" ref="K126:K134" si="76">IF(I126 &gt; 0,"",I126/30)</f>
        <v>-3.9679746031746035</v>
      </c>
    </row>
    <row r="127" spans="1:11" x14ac:dyDescent="0.25">
      <c r="A127" t="s">
        <v>5</v>
      </c>
      <c r="B127">
        <v>48108</v>
      </c>
      <c r="C127" s="3">
        <f t="shared" si="71"/>
        <v>1374.5142857142857</v>
      </c>
      <c r="D127" s="5">
        <f t="shared" ref="D127:D134" si="77">C127*128/$D$2</f>
        <v>1832.6857142857143</v>
      </c>
      <c r="E127" s="7">
        <v>631</v>
      </c>
      <c r="F127" s="8">
        <v>22</v>
      </c>
      <c r="G127" s="3">
        <f t="shared" si="72"/>
        <v>-1179.6857142857143</v>
      </c>
      <c r="H127" s="3">
        <f t="shared" si="73"/>
        <v>-943.74857142857149</v>
      </c>
      <c r="I127" s="3">
        <f t="shared" si="74"/>
        <v>-94.374857142857152</v>
      </c>
      <c r="J127" s="3">
        <f t="shared" si="75"/>
        <v>-31.458285714285715</v>
      </c>
      <c r="K127" s="12">
        <f t="shared" si="76"/>
        <v>-3.1458285714285719</v>
      </c>
    </row>
    <row r="128" spans="1:11" x14ac:dyDescent="0.25">
      <c r="A128" t="s">
        <v>6</v>
      </c>
      <c r="B128">
        <v>184613</v>
      </c>
      <c r="C128" s="3">
        <f t="shared" si="71"/>
        <v>5274.6571428571433</v>
      </c>
      <c r="D128" s="5">
        <f t="shared" si="77"/>
        <v>7032.8761904761914</v>
      </c>
      <c r="E128" s="7">
        <v>2165</v>
      </c>
      <c r="F128" s="8">
        <v>54</v>
      </c>
      <c r="G128" s="3">
        <f t="shared" si="72"/>
        <v>-4813.8761904761914</v>
      </c>
      <c r="H128" s="3">
        <f t="shared" si="73"/>
        <v>-3851.1009523809535</v>
      </c>
      <c r="I128" s="3">
        <f t="shared" si="74"/>
        <v>-385.11009523809537</v>
      </c>
      <c r="J128" s="3">
        <f t="shared" si="75"/>
        <v>-128.37003174603177</v>
      </c>
      <c r="K128" s="12">
        <f t="shared" si="76"/>
        <v>-12.837003174603179</v>
      </c>
    </row>
    <row r="129" spans="1:11" x14ac:dyDescent="0.25">
      <c r="A129" t="s">
        <v>7</v>
      </c>
      <c r="B129">
        <v>234107</v>
      </c>
      <c r="C129" s="3">
        <f t="shared" si="71"/>
        <v>6688.7714285714283</v>
      </c>
      <c r="D129" s="5">
        <f t="shared" si="77"/>
        <v>8918.361904761905</v>
      </c>
      <c r="E129" s="7">
        <v>3112</v>
      </c>
      <c r="F129" s="8">
        <v>105</v>
      </c>
      <c r="G129" s="3">
        <f t="shared" si="72"/>
        <v>-5701.361904761905</v>
      </c>
      <c r="H129" s="3">
        <f t="shared" si="73"/>
        <v>-4561.0895238095245</v>
      </c>
      <c r="I129" s="3">
        <f t="shared" si="74"/>
        <v>-456.10895238095247</v>
      </c>
      <c r="J129" s="3">
        <f t="shared" si="75"/>
        <v>-152.03631746031749</v>
      </c>
      <c r="K129" s="12">
        <f t="shared" si="76"/>
        <v>-15.20363174603175</v>
      </c>
    </row>
    <row r="130" spans="1:11" x14ac:dyDescent="0.25">
      <c r="A130" t="s">
        <v>8</v>
      </c>
      <c r="B130">
        <v>48684</v>
      </c>
      <c r="C130" s="3">
        <f t="shared" si="71"/>
        <v>1390.9714285714285</v>
      </c>
      <c r="D130" s="5">
        <f t="shared" si="77"/>
        <v>1854.6285714285714</v>
      </c>
      <c r="E130" s="7">
        <v>695</v>
      </c>
      <c r="F130" s="8">
        <v>0</v>
      </c>
      <c r="G130" s="3">
        <f t="shared" si="72"/>
        <v>-1159.6285714285714</v>
      </c>
      <c r="H130" s="3">
        <f t="shared" si="73"/>
        <v>-927.70285714285717</v>
      </c>
      <c r="I130" s="3">
        <f t="shared" si="74"/>
        <v>-92.77028571428572</v>
      </c>
      <c r="J130" s="3">
        <f t="shared" si="75"/>
        <v>-30.923428571428573</v>
      </c>
      <c r="K130" s="12">
        <f t="shared" si="76"/>
        <v>-3.0923428571428575</v>
      </c>
    </row>
    <row r="131" spans="1:11" x14ac:dyDescent="0.25">
      <c r="A131" t="s">
        <v>9</v>
      </c>
      <c r="B131">
        <v>14471</v>
      </c>
      <c r="C131" s="3">
        <f t="shared" si="71"/>
        <v>413.45714285714286</v>
      </c>
      <c r="D131" s="5">
        <f t="shared" si="77"/>
        <v>551.27619047619044</v>
      </c>
      <c r="E131" s="7">
        <v>160</v>
      </c>
      <c r="F131" s="8">
        <v>125</v>
      </c>
      <c r="G131" s="3">
        <f t="shared" si="72"/>
        <v>-266.27619047619044</v>
      </c>
      <c r="H131" s="3">
        <f t="shared" si="73"/>
        <v>-213.02095238095237</v>
      </c>
      <c r="I131" s="3">
        <f t="shared" si="74"/>
        <v>-21.302095238095237</v>
      </c>
      <c r="J131" s="3">
        <f t="shared" si="75"/>
        <v>-7.1006984126984118</v>
      </c>
      <c r="K131" s="12">
        <f t="shared" si="76"/>
        <v>-0.7100698412698413</v>
      </c>
    </row>
    <row r="132" spans="1:11" x14ac:dyDescent="0.25">
      <c r="A132" t="s">
        <v>10</v>
      </c>
      <c r="B132">
        <v>80217</v>
      </c>
      <c r="C132" s="3">
        <f t="shared" si="71"/>
        <v>2291.9142857142856</v>
      </c>
      <c r="D132" s="5">
        <f t="shared" si="77"/>
        <v>3055.8857142857141</v>
      </c>
      <c r="E132" s="7">
        <v>1218</v>
      </c>
      <c r="F132" s="8">
        <v>0</v>
      </c>
      <c r="G132" s="3">
        <f t="shared" si="72"/>
        <v>-1837.8857142857141</v>
      </c>
      <c r="H132" s="3">
        <f t="shared" si="73"/>
        <v>-1470.3085714285714</v>
      </c>
      <c r="I132" s="3">
        <f t="shared" si="74"/>
        <v>-147.03085714285714</v>
      </c>
      <c r="J132" s="3">
        <f t="shared" si="75"/>
        <v>-49.010285714285715</v>
      </c>
      <c r="K132" s="12">
        <f t="shared" si="76"/>
        <v>-4.9010285714285713</v>
      </c>
    </row>
    <row r="133" spans="1:11" x14ac:dyDescent="0.25">
      <c r="A133" t="s">
        <v>11</v>
      </c>
      <c r="B133">
        <v>293171</v>
      </c>
      <c r="C133" s="3">
        <f t="shared" si="71"/>
        <v>8376.3142857142866</v>
      </c>
      <c r="D133" s="5">
        <f t="shared" si="77"/>
        <v>11168.419047619049</v>
      </c>
      <c r="E133" s="7">
        <v>2357</v>
      </c>
      <c r="F133" s="8">
        <v>163</v>
      </c>
      <c r="G133" s="3">
        <f t="shared" si="72"/>
        <v>-8648.4190476190488</v>
      </c>
      <c r="H133" s="3">
        <f t="shared" si="73"/>
        <v>-6918.7352380952398</v>
      </c>
      <c r="I133" s="3">
        <f t="shared" si="74"/>
        <v>-691.87352380952404</v>
      </c>
      <c r="J133" s="3">
        <f t="shared" si="75"/>
        <v>-230.624507936508</v>
      </c>
      <c r="K133" s="12">
        <f t="shared" si="76"/>
        <v>-23.0624507936508</v>
      </c>
    </row>
    <row r="134" spans="1:11" x14ac:dyDescent="0.25">
      <c r="A134" t="s">
        <v>12</v>
      </c>
      <c r="B134">
        <v>48514</v>
      </c>
      <c r="C134" s="3">
        <f t="shared" si="71"/>
        <v>1386.1142857142856</v>
      </c>
      <c r="D134" s="5">
        <f t="shared" si="77"/>
        <v>1848.1523809523808</v>
      </c>
      <c r="E134" s="7">
        <v>685</v>
      </c>
      <c r="F134" s="8">
        <v>65</v>
      </c>
      <c r="G134" s="3">
        <f t="shared" si="72"/>
        <v>-1098.1523809523808</v>
      </c>
      <c r="H134" s="3">
        <f t="shared" si="73"/>
        <v>-878.52190476190469</v>
      </c>
      <c r="I134" s="3">
        <f t="shared" si="74"/>
        <v>-87.852190476190472</v>
      </c>
      <c r="J134" s="3">
        <f t="shared" si="75"/>
        <v>-29.284063492063488</v>
      </c>
      <c r="K134" s="12">
        <f t="shared" si="76"/>
        <v>-2.928406349206349</v>
      </c>
    </row>
    <row r="135" spans="1:11" x14ac:dyDescent="0.25">
      <c r="D135" s="3">
        <f>SUM(D126:D134)</f>
        <v>38471.276190476186</v>
      </c>
      <c r="E135" s="3">
        <f>SUM(E126:E134)</f>
        <v>11649</v>
      </c>
      <c r="F135" s="3">
        <f>SUM(F126:F134)</f>
        <v>629</v>
      </c>
      <c r="G135" s="3">
        <f t="shared" si="72"/>
        <v>-26193.276190476186</v>
      </c>
      <c r="H135" s="3"/>
      <c r="I135" s="3"/>
      <c r="J135" s="3"/>
    </row>
  </sheetData>
  <mergeCells count="17">
    <mergeCell ref="B1:C1"/>
    <mergeCell ref="G1:I1"/>
    <mergeCell ref="M1:Q1"/>
    <mergeCell ref="B2:C2"/>
    <mergeCell ref="G2:I2"/>
    <mergeCell ref="A88:K88"/>
    <mergeCell ref="A100:K100"/>
    <mergeCell ref="A112:K112"/>
    <mergeCell ref="A124:K124"/>
    <mergeCell ref="G3:I3"/>
    <mergeCell ref="A16:K16"/>
    <mergeCell ref="A28:K28"/>
    <mergeCell ref="A40:K40"/>
    <mergeCell ref="A52:K52"/>
    <mergeCell ref="A64:K64"/>
    <mergeCell ref="A76:K76"/>
    <mergeCell ref="A4:K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26B0-E202-4541-9DD4-A111D63F83DE}">
  <dimension ref="A1:L101"/>
  <sheetViews>
    <sheetView workbookViewId="0">
      <selection activeCell="L7" sqref="L7"/>
    </sheetView>
  </sheetViews>
  <sheetFormatPr baseColWidth="10" defaultRowHeight="15" x14ac:dyDescent="0.25"/>
  <cols>
    <col min="1" max="1" width="61.7109375" bestFit="1" customWidth="1"/>
    <col min="8" max="8" width="6.42578125" bestFit="1" customWidth="1"/>
    <col min="9" max="9" width="10.85546875" bestFit="1" customWidth="1"/>
    <col min="10" max="10" width="13" bestFit="1" customWidth="1"/>
    <col min="11" max="11" width="13.85546875" bestFit="1" customWidth="1"/>
    <col min="12" max="12" width="31.140625" bestFit="1" customWidth="1"/>
  </cols>
  <sheetData>
    <row r="1" spans="1:12" x14ac:dyDescent="0.25">
      <c r="A1" t="s">
        <v>32</v>
      </c>
      <c r="B1" s="3" t="s">
        <v>0</v>
      </c>
      <c r="C1" s="3" t="s">
        <v>25</v>
      </c>
      <c r="D1" s="3" t="s">
        <v>1</v>
      </c>
      <c r="E1" s="3" t="s">
        <v>13</v>
      </c>
      <c r="F1" s="3" t="s">
        <v>24</v>
      </c>
      <c r="G1" s="3" t="s">
        <v>2</v>
      </c>
      <c r="H1" s="3" t="s">
        <v>3</v>
      </c>
      <c r="I1" s="3" t="s">
        <v>28</v>
      </c>
      <c r="J1" s="3" t="s">
        <v>29</v>
      </c>
      <c r="K1" s="3" t="s">
        <v>38</v>
      </c>
      <c r="L1" s="3" t="s">
        <v>37</v>
      </c>
    </row>
    <row r="2" spans="1:12" x14ac:dyDescent="0.25">
      <c r="A2" s="3" t="s">
        <v>14</v>
      </c>
      <c r="B2" s="3" t="s">
        <v>4</v>
      </c>
      <c r="C2" s="3">
        <v>55699</v>
      </c>
      <c r="D2" s="3">
        <v>1591.4</v>
      </c>
      <c r="E2" s="3">
        <v>1591.4000000000003</v>
      </c>
      <c r="F2" s="3">
        <v>238</v>
      </c>
      <c r="G2" s="3">
        <v>0</v>
      </c>
      <c r="H2" s="3">
        <v>-1353.4000000000003</v>
      </c>
      <c r="I2" s="3">
        <v>-1082.7200000000003</v>
      </c>
      <c r="J2" s="3">
        <v>-108.27200000000003</v>
      </c>
      <c r="K2" s="3">
        <v>-45.113333333333344</v>
      </c>
      <c r="L2" s="3">
        <v>-3.609066666666668</v>
      </c>
    </row>
    <row r="3" spans="1:12" x14ac:dyDescent="0.25">
      <c r="A3" s="3" t="s">
        <v>14</v>
      </c>
      <c r="B3" s="3" t="s">
        <v>5</v>
      </c>
      <c r="C3" s="3">
        <v>51836</v>
      </c>
      <c r="D3" s="3">
        <v>1481.0285714285715</v>
      </c>
      <c r="E3" s="3">
        <v>1481.0285714285717</v>
      </c>
      <c r="F3" s="3">
        <v>517</v>
      </c>
      <c r="G3" s="3">
        <v>0</v>
      </c>
      <c r="H3" s="3">
        <v>-964.02857142857169</v>
      </c>
      <c r="I3" s="3">
        <v>-771.22285714285738</v>
      </c>
      <c r="J3" s="3">
        <v>-77.122285714285738</v>
      </c>
      <c r="K3" s="3">
        <v>-32.134285714285724</v>
      </c>
      <c r="L3" s="3">
        <v>-2.5707428571428581</v>
      </c>
    </row>
    <row r="4" spans="1:12" x14ac:dyDescent="0.25">
      <c r="A4" s="3" t="s">
        <v>14</v>
      </c>
      <c r="B4" s="3" t="s">
        <v>6</v>
      </c>
      <c r="C4" s="3">
        <v>204021</v>
      </c>
      <c r="D4" s="3">
        <v>5829.1714285714288</v>
      </c>
      <c r="E4" s="3">
        <v>5829.1714285714288</v>
      </c>
      <c r="F4" s="3">
        <v>1807</v>
      </c>
      <c r="G4" s="3">
        <v>28</v>
      </c>
      <c r="H4" s="3">
        <v>-3994.1714285714288</v>
      </c>
      <c r="I4" s="3">
        <v>-3195.3371428571431</v>
      </c>
      <c r="J4" s="3">
        <v>-319.53371428571432</v>
      </c>
      <c r="K4" s="3">
        <v>-133.13904761904763</v>
      </c>
      <c r="L4" s="3">
        <v>-10.651123809523812</v>
      </c>
    </row>
    <row r="5" spans="1:12" x14ac:dyDescent="0.25">
      <c r="A5" s="3" t="s">
        <v>14</v>
      </c>
      <c r="B5" s="3" t="s">
        <v>7</v>
      </c>
      <c r="C5" s="3">
        <v>271621</v>
      </c>
      <c r="D5" s="3">
        <v>7760.6</v>
      </c>
      <c r="E5" s="3">
        <v>7760.6000000000013</v>
      </c>
      <c r="F5" s="3">
        <v>1937</v>
      </c>
      <c r="G5" s="3">
        <v>25</v>
      </c>
      <c r="H5" s="3">
        <v>-5798.6000000000013</v>
      </c>
      <c r="I5" s="3">
        <v>-4638.880000000001</v>
      </c>
      <c r="J5" s="3">
        <v>-463.88800000000015</v>
      </c>
      <c r="K5" s="3">
        <v>-193.28666666666672</v>
      </c>
      <c r="L5" s="3">
        <v>-15.462933333333337</v>
      </c>
    </row>
    <row r="6" spans="1:12" x14ac:dyDescent="0.25">
      <c r="A6" s="3" t="s">
        <v>14</v>
      </c>
      <c r="B6" s="3" t="s">
        <v>8</v>
      </c>
      <c r="C6" s="3">
        <v>57171</v>
      </c>
      <c r="D6" s="3">
        <v>1633.4571428571428</v>
      </c>
      <c r="E6" s="3">
        <v>1633.4571428571428</v>
      </c>
      <c r="F6" s="3">
        <v>483</v>
      </c>
      <c r="G6" s="3">
        <v>0</v>
      </c>
      <c r="H6" s="3">
        <v>-1150.4571428571428</v>
      </c>
      <c r="I6" s="3">
        <v>-920.36571428571426</v>
      </c>
      <c r="J6" s="3">
        <v>-92.036571428571435</v>
      </c>
      <c r="K6" s="3">
        <v>-38.348571428571425</v>
      </c>
      <c r="L6" s="3">
        <v>-3.0678857142857145</v>
      </c>
    </row>
    <row r="7" spans="1:12" x14ac:dyDescent="0.25">
      <c r="A7" s="3" t="s">
        <v>14</v>
      </c>
      <c r="B7" s="3" t="s">
        <v>9</v>
      </c>
      <c r="C7" s="3">
        <v>13856</v>
      </c>
      <c r="D7" s="3">
        <v>395.8857142857143</v>
      </c>
      <c r="E7" s="3">
        <v>395.8857142857143</v>
      </c>
      <c r="F7" s="3">
        <v>102</v>
      </c>
      <c r="G7" s="3">
        <v>19</v>
      </c>
      <c r="H7" s="3">
        <v>-274.8857142857143</v>
      </c>
      <c r="I7" s="3">
        <v>-219.90857142857146</v>
      </c>
      <c r="J7" s="3">
        <v>-21.990857142857148</v>
      </c>
      <c r="K7" s="3">
        <v>-9.1628571428571437</v>
      </c>
      <c r="L7" s="3">
        <v>-0.73302857142857158</v>
      </c>
    </row>
    <row r="8" spans="1:12" x14ac:dyDescent="0.25">
      <c r="A8" s="3" t="s">
        <v>14</v>
      </c>
      <c r="B8" s="3" t="s">
        <v>10</v>
      </c>
      <c r="C8" s="3">
        <v>84657</v>
      </c>
      <c r="D8" s="3">
        <v>2418.7714285714287</v>
      </c>
      <c r="E8" s="3">
        <v>2418.7714285714287</v>
      </c>
      <c r="F8" s="3">
        <v>806</v>
      </c>
      <c r="G8" s="3">
        <v>0</v>
      </c>
      <c r="H8" s="3">
        <v>-1612.7714285714287</v>
      </c>
      <c r="I8" s="3">
        <v>-1290.217142857143</v>
      </c>
      <c r="J8" s="3">
        <v>-129.0217142857143</v>
      </c>
      <c r="K8" s="3">
        <v>-53.759047619047621</v>
      </c>
      <c r="L8" s="3">
        <v>-4.3007238095238103</v>
      </c>
    </row>
    <row r="9" spans="1:12" x14ac:dyDescent="0.25">
      <c r="A9" s="3" t="s">
        <v>14</v>
      </c>
      <c r="B9" s="3" t="s">
        <v>11</v>
      </c>
      <c r="C9" s="3">
        <v>290150</v>
      </c>
      <c r="D9" s="3">
        <v>8290</v>
      </c>
      <c r="E9" s="3">
        <v>8290</v>
      </c>
      <c r="F9" s="3">
        <v>1557</v>
      </c>
      <c r="G9" s="3">
        <v>27</v>
      </c>
      <c r="H9" s="3">
        <v>-6706</v>
      </c>
      <c r="I9" s="3">
        <v>-5364.8</v>
      </c>
      <c r="J9" s="3">
        <v>-536.48</v>
      </c>
      <c r="K9" s="3">
        <v>-223.53333333333333</v>
      </c>
      <c r="L9" s="3">
        <v>-17.882666666666669</v>
      </c>
    </row>
    <row r="10" spans="1:12" x14ac:dyDescent="0.25">
      <c r="A10" s="3" t="s">
        <v>14</v>
      </c>
      <c r="B10" s="3" t="s">
        <v>12</v>
      </c>
      <c r="C10" s="3">
        <v>52371</v>
      </c>
      <c r="D10" s="3">
        <v>1496.3142857142857</v>
      </c>
      <c r="E10" s="3">
        <v>1496.3142857142857</v>
      </c>
      <c r="F10" s="3">
        <v>421</v>
      </c>
      <c r="G10" s="3">
        <v>0</v>
      </c>
      <c r="H10" s="3">
        <v>-1075.3142857142857</v>
      </c>
      <c r="I10" s="3">
        <v>-860.25142857142862</v>
      </c>
      <c r="J10" s="3">
        <v>-86.025142857142868</v>
      </c>
      <c r="K10" s="3">
        <v>-35.843809523809526</v>
      </c>
      <c r="L10" s="3">
        <v>-2.8675047619047622</v>
      </c>
    </row>
    <row r="11" spans="1:12" x14ac:dyDescent="0.25">
      <c r="A11" t="s">
        <v>15</v>
      </c>
      <c r="B11" s="3" t="s">
        <v>4</v>
      </c>
      <c r="C11" s="3">
        <v>55699</v>
      </c>
      <c r="D11" s="3">
        <v>1591.4</v>
      </c>
      <c r="E11" s="3">
        <v>1060.9333333333334</v>
      </c>
      <c r="F11" s="3">
        <v>390</v>
      </c>
      <c r="G11" s="3">
        <v>0</v>
      </c>
      <c r="H11" s="3">
        <v>-670.93333333333339</v>
      </c>
      <c r="I11" s="3">
        <v>-536.74666666666678</v>
      </c>
      <c r="J11" s="3">
        <v>-53.674666666666681</v>
      </c>
      <c r="K11" s="3">
        <v>-22.364444444444448</v>
      </c>
      <c r="L11" s="3">
        <v>-1.7891555555555561</v>
      </c>
    </row>
    <row r="12" spans="1:12" x14ac:dyDescent="0.25">
      <c r="A12" t="s">
        <v>15</v>
      </c>
      <c r="B12" s="3" t="s">
        <v>5</v>
      </c>
      <c r="C12" s="3">
        <v>51836</v>
      </c>
      <c r="D12" s="3">
        <v>1481.0285714285715</v>
      </c>
      <c r="E12" s="3">
        <v>987.35238095238094</v>
      </c>
      <c r="F12" s="3">
        <v>753</v>
      </c>
      <c r="G12" s="3">
        <v>3</v>
      </c>
      <c r="H12" s="3">
        <v>-231.35238095238094</v>
      </c>
      <c r="I12" s="3">
        <v>-185.08190476190475</v>
      </c>
      <c r="J12" s="3">
        <v>-18.508190476190475</v>
      </c>
      <c r="K12" s="3">
        <v>-7.7117460317460313</v>
      </c>
      <c r="L12" s="3">
        <v>-0.61693968253968245</v>
      </c>
    </row>
    <row r="13" spans="1:12" x14ac:dyDescent="0.25">
      <c r="A13" t="s">
        <v>15</v>
      </c>
      <c r="B13" s="3" t="s">
        <v>6</v>
      </c>
      <c r="C13" s="3">
        <v>204021</v>
      </c>
      <c r="D13" s="3">
        <v>5829.1714285714288</v>
      </c>
      <c r="E13" s="3">
        <v>3886.1142857142859</v>
      </c>
      <c r="F13" s="3">
        <v>2141</v>
      </c>
      <c r="G13" s="3">
        <v>57</v>
      </c>
      <c r="H13" s="3">
        <v>-1688.1142857142859</v>
      </c>
      <c r="I13" s="3">
        <v>-1350.4914285714287</v>
      </c>
      <c r="J13" s="3">
        <v>-135.04914285714287</v>
      </c>
      <c r="K13" s="3">
        <v>-56.270476190476195</v>
      </c>
      <c r="L13" s="3">
        <v>-4.5016380952380954</v>
      </c>
    </row>
    <row r="14" spans="1:12" x14ac:dyDescent="0.25">
      <c r="A14" t="s">
        <v>15</v>
      </c>
      <c r="B14" s="3" t="s">
        <v>7</v>
      </c>
      <c r="C14" s="3">
        <v>271621</v>
      </c>
      <c r="D14" s="3">
        <v>7760.6</v>
      </c>
      <c r="E14" s="3">
        <v>5173.7333333333336</v>
      </c>
      <c r="F14" s="3">
        <v>3413</v>
      </c>
      <c r="G14" s="3">
        <v>28</v>
      </c>
      <c r="H14" s="3">
        <v>-1732.7333333333336</v>
      </c>
      <c r="I14" s="3">
        <v>-1386.186666666667</v>
      </c>
      <c r="J14" s="3">
        <v>-138.61866666666671</v>
      </c>
      <c r="K14" s="3">
        <v>-57.757777777777783</v>
      </c>
      <c r="L14" s="3">
        <v>-4.6206222222222237</v>
      </c>
    </row>
    <row r="15" spans="1:12" x14ac:dyDescent="0.25">
      <c r="A15" t="s">
        <v>15</v>
      </c>
      <c r="B15" s="3" t="s">
        <v>8</v>
      </c>
      <c r="C15" s="3">
        <v>57171</v>
      </c>
      <c r="D15" s="3">
        <v>1633.4571428571428</v>
      </c>
      <c r="E15" s="3">
        <v>1088.9714285714285</v>
      </c>
      <c r="F15" s="3">
        <v>720</v>
      </c>
      <c r="G15" s="3">
        <v>29</v>
      </c>
      <c r="H15" s="3">
        <v>-339.97142857142853</v>
      </c>
      <c r="I15" s="3">
        <v>-271.97714285714284</v>
      </c>
      <c r="J15" s="3">
        <v>-27.197714285714284</v>
      </c>
      <c r="K15" s="3">
        <v>-11.332380952380952</v>
      </c>
      <c r="L15" s="3">
        <v>-0.90659047619047617</v>
      </c>
    </row>
    <row r="16" spans="1:12" x14ac:dyDescent="0.25">
      <c r="A16" t="s">
        <v>15</v>
      </c>
      <c r="B16" s="3" t="s">
        <v>9</v>
      </c>
      <c r="C16" s="3">
        <v>13856</v>
      </c>
      <c r="D16" s="3">
        <v>395.8857142857143</v>
      </c>
      <c r="E16" s="3">
        <v>263.92380952380955</v>
      </c>
      <c r="F16" s="3">
        <v>255</v>
      </c>
      <c r="G16" s="3">
        <v>0</v>
      </c>
      <c r="H16" s="3">
        <v>-8.9238095238095525</v>
      </c>
      <c r="I16" s="3">
        <v>-7.1390476190476422</v>
      </c>
      <c r="J16" s="3">
        <v>-0.71390476190476426</v>
      </c>
      <c r="K16" s="3">
        <v>-0.29746031746031842</v>
      </c>
      <c r="L16" s="3">
        <v>-2.3796825396825476E-2</v>
      </c>
    </row>
    <row r="17" spans="1:12" x14ac:dyDescent="0.25">
      <c r="A17" t="s">
        <v>15</v>
      </c>
      <c r="B17" s="3" t="s">
        <v>10</v>
      </c>
      <c r="C17" s="3">
        <v>84657</v>
      </c>
      <c r="D17" s="3">
        <v>2418.7714285714287</v>
      </c>
      <c r="E17" s="3">
        <v>1612.5142857142857</v>
      </c>
      <c r="F17" s="3">
        <v>1229</v>
      </c>
      <c r="G17" s="3">
        <v>24</v>
      </c>
      <c r="H17" s="3">
        <v>-359.51428571428573</v>
      </c>
      <c r="I17" s="3">
        <v>-287.61142857142858</v>
      </c>
      <c r="J17" s="3">
        <v>-28.761142857142858</v>
      </c>
      <c r="K17" s="3">
        <v>-11.983809523809525</v>
      </c>
      <c r="L17" s="3">
        <v>-0.95870476190476195</v>
      </c>
    </row>
    <row r="18" spans="1:12" x14ac:dyDescent="0.25">
      <c r="A18" t="s">
        <v>15</v>
      </c>
      <c r="B18" s="3" t="s">
        <v>11</v>
      </c>
      <c r="C18" s="3">
        <v>290150</v>
      </c>
      <c r="D18" s="3">
        <v>8290</v>
      </c>
      <c r="E18" s="3">
        <v>5526.666666666667</v>
      </c>
      <c r="F18" s="3">
        <v>2152</v>
      </c>
      <c r="G18" s="3">
        <v>65</v>
      </c>
      <c r="H18" s="3">
        <v>-3309.666666666667</v>
      </c>
      <c r="I18" s="3">
        <v>-2647.7333333333336</v>
      </c>
      <c r="J18" s="3">
        <v>-264.77333333333337</v>
      </c>
      <c r="K18" s="3">
        <v>-110.32222222222224</v>
      </c>
      <c r="L18" s="3">
        <v>-8.8257777777777786</v>
      </c>
    </row>
    <row r="19" spans="1:12" x14ac:dyDescent="0.25">
      <c r="A19" t="s">
        <v>15</v>
      </c>
      <c r="B19" s="3" t="s">
        <v>12</v>
      </c>
      <c r="C19" s="3">
        <v>52371</v>
      </c>
      <c r="D19" s="3">
        <v>1496.3142857142857</v>
      </c>
      <c r="E19" s="3">
        <v>997.54285714285709</v>
      </c>
      <c r="F19" s="3">
        <v>705</v>
      </c>
      <c r="G19" s="3">
        <v>30</v>
      </c>
      <c r="H19" s="3">
        <v>-262.54285714285709</v>
      </c>
      <c r="I19" s="3">
        <v>-210.03428571428569</v>
      </c>
      <c r="J19" s="3">
        <v>-21.003428571428572</v>
      </c>
      <c r="K19" s="3">
        <v>-8.7514285714285691</v>
      </c>
      <c r="L19" s="3">
        <v>-0.70011428571428569</v>
      </c>
    </row>
    <row r="20" spans="1:12" x14ac:dyDescent="0.25">
      <c r="A20" s="3" t="s">
        <v>16</v>
      </c>
      <c r="B20" s="3" t="s">
        <v>4</v>
      </c>
      <c r="C20" s="3">
        <v>55699</v>
      </c>
      <c r="D20" s="3">
        <v>1591.4</v>
      </c>
      <c r="E20" s="3">
        <v>1856.6333333333334</v>
      </c>
      <c r="F20" s="3">
        <v>354</v>
      </c>
      <c r="G20" s="3">
        <v>0</v>
      </c>
      <c r="H20" s="3">
        <v>-1502.6333333333334</v>
      </c>
      <c r="I20" s="3">
        <v>-1202.1066666666668</v>
      </c>
      <c r="J20" s="3">
        <v>-120.21066666666668</v>
      </c>
      <c r="K20" s="3">
        <v>-50.087777777777781</v>
      </c>
      <c r="L20" s="3">
        <v>-4.0070222222222229</v>
      </c>
    </row>
    <row r="21" spans="1:12" x14ac:dyDescent="0.25">
      <c r="A21" s="3" t="s">
        <v>16</v>
      </c>
      <c r="B21" s="3" t="s">
        <v>5</v>
      </c>
      <c r="C21" s="3">
        <v>51836</v>
      </c>
      <c r="D21" s="3">
        <v>1481.0285714285715</v>
      </c>
      <c r="E21" s="3">
        <v>1727.8666666666668</v>
      </c>
      <c r="F21" s="3">
        <v>497</v>
      </c>
      <c r="G21" s="3">
        <v>29</v>
      </c>
      <c r="H21" s="3">
        <v>-1201.8666666666668</v>
      </c>
      <c r="I21" s="3">
        <v>-961.49333333333345</v>
      </c>
      <c r="J21" s="3">
        <v>-96.149333333333345</v>
      </c>
      <c r="K21" s="3">
        <v>-40.062222222222225</v>
      </c>
      <c r="L21" s="3">
        <v>-3.2049777777777781</v>
      </c>
    </row>
    <row r="22" spans="1:12" x14ac:dyDescent="0.25">
      <c r="A22" s="3" t="s">
        <v>16</v>
      </c>
      <c r="B22" s="3" t="s">
        <v>6</v>
      </c>
      <c r="C22" s="3">
        <v>204021</v>
      </c>
      <c r="D22" s="3">
        <v>5829.1714285714288</v>
      </c>
      <c r="E22" s="3">
        <v>6800.7000000000007</v>
      </c>
      <c r="F22" s="3">
        <v>1822</v>
      </c>
      <c r="G22" s="3">
        <v>0</v>
      </c>
      <c r="H22" s="3">
        <v>-4978.7000000000007</v>
      </c>
      <c r="I22" s="3">
        <v>-3982.9600000000009</v>
      </c>
      <c r="J22" s="3">
        <v>-398.29600000000011</v>
      </c>
      <c r="K22" s="3">
        <v>-165.95666666666668</v>
      </c>
      <c r="L22" s="3">
        <v>-13.276533333333337</v>
      </c>
    </row>
    <row r="23" spans="1:12" x14ac:dyDescent="0.25">
      <c r="A23" s="3" t="s">
        <v>16</v>
      </c>
      <c r="B23" s="3" t="s">
        <v>7</v>
      </c>
      <c r="C23" s="3">
        <v>271621</v>
      </c>
      <c r="D23" s="3">
        <v>7760.6</v>
      </c>
      <c r="E23" s="3">
        <v>9054.0333333333347</v>
      </c>
      <c r="F23" s="3">
        <v>2602</v>
      </c>
      <c r="G23" s="3">
        <v>0</v>
      </c>
      <c r="H23" s="3">
        <v>-6452.0333333333347</v>
      </c>
      <c r="I23" s="3">
        <v>-5161.6266666666679</v>
      </c>
      <c r="J23" s="3">
        <v>-516.16266666666684</v>
      </c>
      <c r="K23" s="3">
        <v>-215.06777777777782</v>
      </c>
      <c r="L23" s="3">
        <v>-17.205422222222229</v>
      </c>
    </row>
    <row r="24" spans="1:12" x14ac:dyDescent="0.25">
      <c r="A24" s="3" t="s">
        <v>16</v>
      </c>
      <c r="B24" s="3" t="s">
        <v>8</v>
      </c>
      <c r="C24" s="3">
        <v>57171</v>
      </c>
      <c r="D24" s="3">
        <v>1633.4571428571428</v>
      </c>
      <c r="E24" s="3">
        <v>1905.6999999999998</v>
      </c>
      <c r="F24" s="3">
        <v>667</v>
      </c>
      <c r="G24" s="3">
        <v>0</v>
      </c>
      <c r="H24" s="3">
        <v>-1238.6999999999998</v>
      </c>
      <c r="I24" s="3">
        <v>-990.95999999999992</v>
      </c>
      <c r="J24" s="3">
        <v>-99.096000000000004</v>
      </c>
      <c r="K24" s="3">
        <v>-41.289999999999992</v>
      </c>
      <c r="L24" s="3">
        <v>-3.3031999999999999</v>
      </c>
    </row>
    <row r="25" spans="1:12" x14ac:dyDescent="0.25">
      <c r="A25" s="3" t="s">
        <v>16</v>
      </c>
      <c r="B25" s="3" t="s">
        <v>9</v>
      </c>
      <c r="C25" s="3">
        <v>13856</v>
      </c>
      <c r="D25" s="3">
        <v>395.8857142857143</v>
      </c>
      <c r="E25" s="3">
        <v>461.86666666666673</v>
      </c>
      <c r="F25" s="3">
        <v>105</v>
      </c>
      <c r="G25" s="3">
        <v>0</v>
      </c>
      <c r="H25" s="3">
        <v>-356.86666666666673</v>
      </c>
      <c r="I25" s="3">
        <v>-285.4933333333334</v>
      </c>
      <c r="J25" s="3">
        <v>-28.54933333333334</v>
      </c>
      <c r="K25" s="3">
        <v>-11.895555555555557</v>
      </c>
      <c r="L25" s="3">
        <v>-0.95164444444444463</v>
      </c>
    </row>
    <row r="26" spans="1:12" x14ac:dyDescent="0.25">
      <c r="A26" s="3" t="s">
        <v>16</v>
      </c>
      <c r="B26" s="3" t="s">
        <v>10</v>
      </c>
      <c r="C26" s="3">
        <v>84657</v>
      </c>
      <c r="D26" s="3">
        <v>2418.7714285714287</v>
      </c>
      <c r="E26" s="3">
        <v>2821.9</v>
      </c>
      <c r="F26" s="3">
        <v>1052</v>
      </c>
      <c r="G26" s="3">
        <v>0</v>
      </c>
      <c r="H26" s="3">
        <v>-1769.9</v>
      </c>
      <c r="I26" s="3">
        <v>-1415.92</v>
      </c>
      <c r="J26" s="3">
        <v>-141.59200000000001</v>
      </c>
      <c r="K26" s="3">
        <v>-58.99666666666667</v>
      </c>
      <c r="L26" s="3">
        <v>-4.719733333333334</v>
      </c>
    </row>
    <row r="27" spans="1:12" x14ac:dyDescent="0.25">
      <c r="A27" s="3" t="s">
        <v>16</v>
      </c>
      <c r="B27" s="3" t="s">
        <v>11</v>
      </c>
      <c r="C27" s="3">
        <v>290150</v>
      </c>
      <c r="D27" s="3">
        <v>8290</v>
      </c>
      <c r="E27" s="3">
        <v>9671.6666666666661</v>
      </c>
      <c r="F27" s="3">
        <v>1746</v>
      </c>
      <c r="G27" s="3">
        <v>21</v>
      </c>
      <c r="H27" s="3">
        <v>-7904.6666666666661</v>
      </c>
      <c r="I27" s="3">
        <v>-6323.7333333333336</v>
      </c>
      <c r="J27" s="3">
        <v>-632.37333333333345</v>
      </c>
      <c r="K27" s="3">
        <v>-263.48888888888888</v>
      </c>
      <c r="L27" s="3">
        <v>-21.079111111111114</v>
      </c>
    </row>
    <row r="28" spans="1:12" x14ac:dyDescent="0.25">
      <c r="A28" s="3" t="s">
        <v>16</v>
      </c>
      <c r="B28" s="3" t="s">
        <v>12</v>
      </c>
      <c r="C28" s="3">
        <v>52371</v>
      </c>
      <c r="D28" s="3">
        <v>1496.3142857142857</v>
      </c>
      <c r="E28" s="3">
        <v>1745.7</v>
      </c>
      <c r="F28" s="3">
        <v>547</v>
      </c>
      <c r="G28" s="3">
        <v>0</v>
      </c>
      <c r="H28" s="3">
        <v>-1198.7</v>
      </c>
      <c r="I28" s="3">
        <v>-958.96</v>
      </c>
      <c r="J28" s="3">
        <v>-95.896000000000015</v>
      </c>
      <c r="K28" s="3">
        <v>-39.956666666666671</v>
      </c>
      <c r="L28" s="3">
        <v>-3.1965333333333339</v>
      </c>
    </row>
    <row r="29" spans="1:12" x14ac:dyDescent="0.25">
      <c r="A29" s="3" t="s">
        <v>17</v>
      </c>
      <c r="B29" s="3" t="s">
        <v>4</v>
      </c>
      <c r="C29" s="3">
        <v>55699</v>
      </c>
      <c r="D29" s="3">
        <v>1591.4</v>
      </c>
      <c r="E29" s="3">
        <v>795.70000000000016</v>
      </c>
      <c r="F29" s="3">
        <v>149</v>
      </c>
      <c r="G29" s="3">
        <v>0</v>
      </c>
      <c r="H29" s="3">
        <v>-646.70000000000016</v>
      </c>
      <c r="I29" s="3">
        <v>-517.36000000000013</v>
      </c>
      <c r="J29" s="3">
        <v>-51.736000000000018</v>
      </c>
      <c r="K29" s="3">
        <v>-21.556666666666672</v>
      </c>
      <c r="L29" s="3">
        <v>-1.7245333333333339</v>
      </c>
    </row>
    <row r="30" spans="1:12" x14ac:dyDescent="0.25">
      <c r="A30" s="3" t="s">
        <v>17</v>
      </c>
      <c r="B30" s="3" t="s">
        <v>5</v>
      </c>
      <c r="C30" s="3">
        <v>51836</v>
      </c>
      <c r="D30" s="3">
        <v>1481.0285714285715</v>
      </c>
      <c r="E30" s="3">
        <v>740.51428571428585</v>
      </c>
      <c r="F30" s="3">
        <v>171</v>
      </c>
      <c r="G30" s="3">
        <v>0</v>
      </c>
      <c r="H30" s="3">
        <v>-569.51428571428585</v>
      </c>
      <c r="I30" s="3">
        <v>-455.61142857142869</v>
      </c>
      <c r="J30" s="3">
        <v>-45.561142857142869</v>
      </c>
      <c r="K30" s="3">
        <v>-18.98380952380953</v>
      </c>
      <c r="L30" s="3">
        <v>-1.5187047619047622</v>
      </c>
    </row>
    <row r="31" spans="1:12" x14ac:dyDescent="0.25">
      <c r="A31" s="3" t="s">
        <v>17</v>
      </c>
      <c r="B31" s="3" t="s">
        <v>6</v>
      </c>
      <c r="C31" s="3">
        <v>204021</v>
      </c>
      <c r="D31" s="3">
        <v>5829.1714285714288</v>
      </c>
      <c r="E31" s="3">
        <v>2914.5857142857144</v>
      </c>
      <c r="F31" s="3">
        <v>725</v>
      </c>
      <c r="G31" s="3">
        <v>0</v>
      </c>
      <c r="H31" s="3">
        <v>-2189.5857142857144</v>
      </c>
      <c r="I31" s="3">
        <v>-1751.6685714285716</v>
      </c>
      <c r="J31" s="3">
        <v>-175.16685714285717</v>
      </c>
      <c r="K31" s="3">
        <v>-72.986190476190487</v>
      </c>
      <c r="L31" s="3">
        <v>-5.8388952380952386</v>
      </c>
    </row>
    <row r="32" spans="1:12" x14ac:dyDescent="0.25">
      <c r="A32" s="3" t="s">
        <v>17</v>
      </c>
      <c r="B32" s="3" t="s">
        <v>7</v>
      </c>
      <c r="C32" s="3">
        <v>271621</v>
      </c>
      <c r="D32" s="3">
        <v>7760.6</v>
      </c>
      <c r="E32" s="3">
        <v>3880.3000000000006</v>
      </c>
      <c r="F32" s="3">
        <v>896</v>
      </c>
      <c r="G32" s="3">
        <v>23</v>
      </c>
      <c r="H32" s="3">
        <v>-2961.3000000000006</v>
      </c>
      <c r="I32" s="3">
        <v>-2369.0400000000004</v>
      </c>
      <c r="J32" s="3">
        <v>-236.90400000000005</v>
      </c>
      <c r="K32" s="3">
        <v>-98.710000000000022</v>
      </c>
      <c r="L32" s="3">
        <v>-7.8968000000000016</v>
      </c>
    </row>
    <row r="33" spans="1:12" x14ac:dyDescent="0.25">
      <c r="A33" s="3" t="s">
        <v>17</v>
      </c>
      <c r="B33" s="3" t="s">
        <v>8</v>
      </c>
      <c r="C33" s="3">
        <v>57171</v>
      </c>
      <c r="D33" s="3">
        <v>1633.4571428571428</v>
      </c>
      <c r="E33" s="3">
        <v>816.7285714285714</v>
      </c>
      <c r="F33" s="3">
        <v>149</v>
      </c>
      <c r="G33" s="3">
        <v>0</v>
      </c>
      <c r="H33" s="3">
        <v>-667.7285714285714</v>
      </c>
      <c r="I33" s="3">
        <v>-534.18285714285719</v>
      </c>
      <c r="J33" s="3">
        <v>-53.418285714285723</v>
      </c>
      <c r="K33" s="3">
        <v>-22.257619047619048</v>
      </c>
      <c r="L33" s="3">
        <v>-1.7806095238095241</v>
      </c>
    </row>
    <row r="34" spans="1:12" x14ac:dyDescent="0.25">
      <c r="A34" s="3" t="s">
        <v>17</v>
      </c>
      <c r="B34" s="3" t="s">
        <v>9</v>
      </c>
      <c r="C34" s="3">
        <v>13856</v>
      </c>
      <c r="D34" s="3">
        <v>395.8857142857143</v>
      </c>
      <c r="E34" s="3">
        <v>197.94285714285715</v>
      </c>
      <c r="F34" s="3">
        <v>80</v>
      </c>
      <c r="G34" s="3">
        <v>0</v>
      </c>
      <c r="H34" s="3">
        <v>-117.94285714285715</v>
      </c>
      <c r="I34" s="3">
        <v>-94.354285714285723</v>
      </c>
      <c r="J34" s="3">
        <v>-9.4354285714285719</v>
      </c>
      <c r="K34" s="3">
        <v>-3.9314285714285715</v>
      </c>
      <c r="L34" s="3">
        <v>-0.31451428571428575</v>
      </c>
    </row>
    <row r="35" spans="1:12" x14ac:dyDescent="0.25">
      <c r="A35" s="3" t="s">
        <v>17</v>
      </c>
      <c r="B35" s="3" t="s">
        <v>10</v>
      </c>
      <c r="C35" s="3">
        <v>84657</v>
      </c>
      <c r="D35" s="3">
        <v>2418.7714285714287</v>
      </c>
      <c r="E35" s="3">
        <v>1209.3857142857144</v>
      </c>
      <c r="F35" s="3">
        <v>299</v>
      </c>
      <c r="G35" s="3">
        <v>0</v>
      </c>
      <c r="H35" s="3">
        <v>-910.38571428571436</v>
      </c>
      <c r="I35" s="3">
        <v>-728.30857142857155</v>
      </c>
      <c r="J35" s="3">
        <v>-72.830857142857155</v>
      </c>
      <c r="K35" s="3">
        <v>-30.346190476190479</v>
      </c>
      <c r="L35" s="3">
        <v>-2.4276952380952386</v>
      </c>
    </row>
    <row r="36" spans="1:12" x14ac:dyDescent="0.25">
      <c r="A36" s="3" t="s">
        <v>17</v>
      </c>
      <c r="B36" s="3" t="s">
        <v>11</v>
      </c>
      <c r="C36" s="3">
        <v>290150</v>
      </c>
      <c r="D36" s="3">
        <v>8290</v>
      </c>
      <c r="E36" s="3">
        <v>4145</v>
      </c>
      <c r="F36" s="3">
        <v>644</v>
      </c>
      <c r="G36" s="3">
        <v>0</v>
      </c>
      <c r="H36" s="3">
        <v>-3501</v>
      </c>
      <c r="I36" s="3">
        <v>-2800.8</v>
      </c>
      <c r="J36" s="3">
        <v>-280.08000000000004</v>
      </c>
      <c r="K36" s="3">
        <v>-116.7</v>
      </c>
      <c r="L36" s="3">
        <v>-9.3360000000000021</v>
      </c>
    </row>
    <row r="37" spans="1:12" x14ac:dyDescent="0.25">
      <c r="A37" s="3" t="s">
        <v>17</v>
      </c>
      <c r="B37" s="3" t="s">
        <v>12</v>
      </c>
      <c r="C37" s="3">
        <v>52371</v>
      </c>
      <c r="D37" s="3">
        <v>1496.3142857142857</v>
      </c>
      <c r="E37" s="3">
        <v>748.15714285714284</v>
      </c>
      <c r="F37" s="3">
        <v>257</v>
      </c>
      <c r="G37" s="3">
        <v>0</v>
      </c>
      <c r="H37" s="3">
        <v>-491.15714285714284</v>
      </c>
      <c r="I37" s="3">
        <v>-392.92571428571432</v>
      </c>
      <c r="J37" s="3">
        <v>-39.292571428571435</v>
      </c>
      <c r="K37" s="3">
        <v>-16.371904761904762</v>
      </c>
      <c r="L37" s="3">
        <v>-1.3097523809523812</v>
      </c>
    </row>
    <row r="38" spans="1:12" x14ac:dyDescent="0.25">
      <c r="A38" s="3" t="s">
        <v>18</v>
      </c>
      <c r="B38" s="3" t="s">
        <v>4</v>
      </c>
      <c r="C38" s="3">
        <v>55699</v>
      </c>
      <c r="D38" s="3">
        <v>1591.4</v>
      </c>
      <c r="E38" s="3">
        <v>2121.8666666666668</v>
      </c>
      <c r="F38" s="3">
        <v>361</v>
      </c>
      <c r="G38" s="3">
        <v>0</v>
      </c>
      <c r="H38" s="3">
        <v>-1760.8666666666668</v>
      </c>
      <c r="I38" s="3">
        <v>-1408.6933333333336</v>
      </c>
      <c r="J38" s="3">
        <v>-140.86933333333337</v>
      </c>
      <c r="K38" s="3">
        <v>-58.695555555555558</v>
      </c>
      <c r="L38" s="3">
        <v>-4.6956444444444454</v>
      </c>
    </row>
    <row r="39" spans="1:12" x14ac:dyDescent="0.25">
      <c r="A39" s="3" t="s">
        <v>18</v>
      </c>
      <c r="B39" s="3" t="s">
        <v>5</v>
      </c>
      <c r="C39" s="3">
        <v>51836</v>
      </c>
      <c r="D39" s="3">
        <v>1481.0285714285715</v>
      </c>
      <c r="E39" s="3">
        <v>1974.7047619047619</v>
      </c>
      <c r="F39" s="3">
        <v>553</v>
      </c>
      <c r="G39" s="3">
        <v>20</v>
      </c>
      <c r="H39" s="3">
        <v>-1401.7047619047619</v>
      </c>
      <c r="I39" s="3">
        <v>-1121.3638095238096</v>
      </c>
      <c r="J39" s="3">
        <v>-112.13638095238096</v>
      </c>
      <c r="K39" s="3">
        <v>-46.72349206349206</v>
      </c>
      <c r="L39" s="3">
        <v>-3.7378793650793654</v>
      </c>
    </row>
    <row r="40" spans="1:12" x14ac:dyDescent="0.25">
      <c r="A40" s="3" t="s">
        <v>18</v>
      </c>
      <c r="B40" s="3" t="s">
        <v>6</v>
      </c>
      <c r="C40" s="3">
        <v>204021</v>
      </c>
      <c r="D40" s="3">
        <v>5829.1714285714288</v>
      </c>
      <c r="E40" s="3">
        <v>7772.2285714285717</v>
      </c>
      <c r="F40" s="3">
        <v>1845</v>
      </c>
      <c r="G40" s="3">
        <v>22</v>
      </c>
      <c r="H40" s="3">
        <v>-5905.2285714285717</v>
      </c>
      <c r="I40" s="3">
        <v>-4724.1828571428578</v>
      </c>
      <c r="J40" s="3">
        <v>-472.41828571428579</v>
      </c>
      <c r="K40" s="3">
        <v>-196.84095238095239</v>
      </c>
      <c r="L40" s="3">
        <v>-15.747276190476192</v>
      </c>
    </row>
    <row r="41" spans="1:12" x14ac:dyDescent="0.25">
      <c r="A41" s="3" t="s">
        <v>18</v>
      </c>
      <c r="B41" s="3" t="s">
        <v>7</v>
      </c>
      <c r="C41" s="3">
        <v>271621</v>
      </c>
      <c r="D41" s="3">
        <v>7760.6</v>
      </c>
      <c r="E41" s="3">
        <v>10347.466666666667</v>
      </c>
      <c r="F41" s="3">
        <v>2227</v>
      </c>
      <c r="G41" s="3">
        <v>0</v>
      </c>
      <c r="H41" s="3">
        <v>-8120.4666666666672</v>
      </c>
      <c r="I41" s="3">
        <v>-6496.3733333333339</v>
      </c>
      <c r="J41" s="3">
        <v>-649.63733333333346</v>
      </c>
      <c r="K41" s="3">
        <v>-270.68222222222226</v>
      </c>
      <c r="L41" s="3">
        <v>-21.654577777777781</v>
      </c>
    </row>
    <row r="42" spans="1:12" x14ac:dyDescent="0.25">
      <c r="A42" s="3" t="s">
        <v>18</v>
      </c>
      <c r="B42" s="3" t="s">
        <v>8</v>
      </c>
      <c r="C42" s="3">
        <v>57171</v>
      </c>
      <c r="D42" s="3">
        <v>1633.4571428571428</v>
      </c>
      <c r="E42" s="3">
        <v>2177.9428571428571</v>
      </c>
      <c r="F42" s="3">
        <v>465</v>
      </c>
      <c r="G42" s="3">
        <v>0</v>
      </c>
      <c r="H42" s="3">
        <v>-1712.9428571428571</v>
      </c>
      <c r="I42" s="3">
        <v>-1370.3542857142857</v>
      </c>
      <c r="J42" s="3">
        <v>-137.03542857142858</v>
      </c>
      <c r="K42" s="3">
        <v>-57.098095238095233</v>
      </c>
      <c r="L42" s="3">
        <v>-4.5678476190476198</v>
      </c>
    </row>
    <row r="43" spans="1:12" x14ac:dyDescent="0.25">
      <c r="A43" s="3" t="s">
        <v>18</v>
      </c>
      <c r="B43" s="3" t="s">
        <v>9</v>
      </c>
      <c r="C43" s="3">
        <v>13856</v>
      </c>
      <c r="D43" s="3">
        <v>395.8857142857143</v>
      </c>
      <c r="E43" s="3">
        <v>527.84761904761911</v>
      </c>
      <c r="F43" s="3">
        <v>137</v>
      </c>
      <c r="G43" s="3">
        <v>24</v>
      </c>
      <c r="H43" s="3">
        <v>-366.84761904761911</v>
      </c>
      <c r="I43" s="3">
        <v>-293.47809523809531</v>
      </c>
      <c r="J43" s="3">
        <v>-29.347809523809531</v>
      </c>
      <c r="K43" s="3">
        <v>-12.22825396825397</v>
      </c>
      <c r="L43" s="3">
        <v>-0.97826031746031772</v>
      </c>
    </row>
    <row r="44" spans="1:12" x14ac:dyDescent="0.25">
      <c r="A44" s="3" t="s">
        <v>18</v>
      </c>
      <c r="B44" s="3" t="s">
        <v>10</v>
      </c>
      <c r="C44" s="3">
        <v>84657</v>
      </c>
      <c r="D44" s="3">
        <v>2418.7714285714287</v>
      </c>
      <c r="E44" s="3">
        <v>3225.0285714285715</v>
      </c>
      <c r="F44" s="3">
        <v>931</v>
      </c>
      <c r="G44" s="3">
        <v>0</v>
      </c>
      <c r="H44" s="3">
        <v>-2294.0285714285715</v>
      </c>
      <c r="I44" s="3">
        <v>-1835.2228571428573</v>
      </c>
      <c r="J44" s="3">
        <v>-183.52228571428574</v>
      </c>
      <c r="K44" s="3">
        <v>-76.467619047619053</v>
      </c>
      <c r="L44" s="3">
        <v>-6.117409523809525</v>
      </c>
    </row>
    <row r="45" spans="1:12" x14ac:dyDescent="0.25">
      <c r="A45" s="3" t="s">
        <v>18</v>
      </c>
      <c r="B45" s="3" t="s">
        <v>11</v>
      </c>
      <c r="C45" s="3">
        <v>290150</v>
      </c>
      <c r="D45" s="3">
        <v>8290</v>
      </c>
      <c r="E45" s="3">
        <v>11053.333333333334</v>
      </c>
      <c r="F45" s="3">
        <v>1890</v>
      </c>
      <c r="G45" s="3">
        <v>0</v>
      </c>
      <c r="H45" s="3">
        <v>-9163.3333333333339</v>
      </c>
      <c r="I45" s="3">
        <v>-7330.6666666666679</v>
      </c>
      <c r="J45" s="3">
        <v>-733.06666666666683</v>
      </c>
      <c r="K45" s="3">
        <v>-305.44444444444446</v>
      </c>
      <c r="L45" s="3">
        <v>-24.43555555555556</v>
      </c>
    </row>
    <row r="46" spans="1:12" x14ac:dyDescent="0.25">
      <c r="A46" s="3" t="s">
        <v>18</v>
      </c>
      <c r="B46" s="3" t="s">
        <v>12</v>
      </c>
      <c r="C46" s="3">
        <v>52371</v>
      </c>
      <c r="D46" s="3">
        <v>1496.3142857142857</v>
      </c>
      <c r="E46" s="3">
        <v>1995.0857142857142</v>
      </c>
      <c r="F46" s="3">
        <v>491</v>
      </c>
      <c r="G46" s="3">
        <v>0</v>
      </c>
      <c r="H46" s="3">
        <v>-1504.0857142857142</v>
      </c>
      <c r="I46" s="3">
        <v>-1203.2685714285715</v>
      </c>
      <c r="J46" s="3">
        <v>-120.32685714285715</v>
      </c>
      <c r="K46" s="3">
        <v>-50.136190476190471</v>
      </c>
      <c r="L46" s="3">
        <v>-4.0108952380952383</v>
      </c>
    </row>
    <row r="47" spans="1:12" x14ac:dyDescent="0.25">
      <c r="A47" s="3" t="s">
        <v>19</v>
      </c>
      <c r="B47" s="3" t="s">
        <v>4</v>
      </c>
      <c r="C47" s="3">
        <v>55699</v>
      </c>
      <c r="D47" s="3">
        <v>1591.4</v>
      </c>
      <c r="E47" s="3">
        <v>795.70000000000016</v>
      </c>
      <c r="F47" s="3">
        <v>174</v>
      </c>
      <c r="G47" s="3">
        <v>22</v>
      </c>
      <c r="H47" s="3">
        <v>-599.70000000000016</v>
      </c>
      <c r="I47" s="3">
        <v>-479.76000000000016</v>
      </c>
      <c r="J47" s="3">
        <v>-47.97600000000002</v>
      </c>
      <c r="K47" s="3">
        <v>-19.990000000000006</v>
      </c>
      <c r="L47" s="3">
        <v>-1.5992000000000006</v>
      </c>
    </row>
    <row r="48" spans="1:12" x14ac:dyDescent="0.25">
      <c r="A48" s="3" t="s">
        <v>19</v>
      </c>
      <c r="B48" s="3" t="s">
        <v>5</v>
      </c>
      <c r="C48" s="3">
        <v>51836</v>
      </c>
      <c r="D48" s="3">
        <v>1481.0285714285715</v>
      </c>
      <c r="E48" s="3">
        <v>740.51428571428585</v>
      </c>
      <c r="F48" s="3">
        <v>346</v>
      </c>
      <c r="G48" s="3">
        <v>0</v>
      </c>
      <c r="H48" s="3">
        <v>-394.51428571428585</v>
      </c>
      <c r="I48" s="3">
        <v>-315.61142857142869</v>
      </c>
      <c r="J48" s="3">
        <v>-31.561142857142869</v>
      </c>
      <c r="K48" s="3">
        <v>-13.150476190476194</v>
      </c>
      <c r="L48" s="3">
        <v>-1.0520380952380957</v>
      </c>
    </row>
    <row r="49" spans="1:12" x14ac:dyDescent="0.25">
      <c r="A49" s="3" t="s">
        <v>19</v>
      </c>
      <c r="B49" s="3" t="s">
        <v>6</v>
      </c>
      <c r="C49" s="3">
        <v>204021</v>
      </c>
      <c r="D49" s="3">
        <v>5829.1714285714288</v>
      </c>
      <c r="E49" s="3">
        <v>2914.5857142857144</v>
      </c>
      <c r="F49" s="3">
        <v>1084</v>
      </c>
      <c r="G49" s="3">
        <v>113</v>
      </c>
      <c r="H49" s="3">
        <v>-1717.5857142857144</v>
      </c>
      <c r="I49" s="3">
        <v>-1374.0685714285717</v>
      </c>
      <c r="J49" s="3">
        <v>-137.40685714285718</v>
      </c>
      <c r="K49" s="3">
        <v>-57.252857142857145</v>
      </c>
      <c r="L49" s="3">
        <v>-4.5802285714285729</v>
      </c>
    </row>
    <row r="50" spans="1:12" x14ac:dyDescent="0.25">
      <c r="A50" s="3" t="s">
        <v>19</v>
      </c>
      <c r="B50" s="3" t="s">
        <v>7</v>
      </c>
      <c r="C50" s="3">
        <v>271621</v>
      </c>
      <c r="D50" s="3">
        <v>7760.6</v>
      </c>
      <c r="E50" s="3">
        <v>3880.3000000000006</v>
      </c>
      <c r="F50" s="3">
        <v>1562</v>
      </c>
      <c r="G50" s="3">
        <v>184</v>
      </c>
      <c r="H50" s="3">
        <v>-2134.3000000000006</v>
      </c>
      <c r="I50" s="3">
        <v>-1707.4400000000005</v>
      </c>
      <c r="J50" s="3">
        <v>-170.74400000000006</v>
      </c>
      <c r="K50" s="3">
        <v>-71.143333333333359</v>
      </c>
      <c r="L50" s="3">
        <v>-5.6914666666666687</v>
      </c>
    </row>
    <row r="51" spans="1:12" x14ac:dyDescent="0.25">
      <c r="A51" s="3" t="s">
        <v>19</v>
      </c>
      <c r="B51" s="3" t="s">
        <v>8</v>
      </c>
      <c r="C51" s="3">
        <v>57171</v>
      </c>
      <c r="D51" s="3">
        <v>1633.4571428571428</v>
      </c>
      <c r="E51" s="3">
        <v>816.7285714285714</v>
      </c>
      <c r="F51" s="3">
        <v>301</v>
      </c>
      <c r="G51" s="3">
        <v>46</v>
      </c>
      <c r="H51" s="3">
        <v>-469.7285714285714</v>
      </c>
      <c r="I51" s="3">
        <v>-375.78285714285715</v>
      </c>
      <c r="J51" s="3">
        <v>-37.57828571428572</v>
      </c>
      <c r="K51" s="3">
        <v>-15.657619047619047</v>
      </c>
      <c r="L51" s="3">
        <v>-1.2526095238095241</v>
      </c>
    </row>
    <row r="52" spans="1:12" x14ac:dyDescent="0.25">
      <c r="A52" s="3" t="s">
        <v>19</v>
      </c>
      <c r="B52" s="3" t="s">
        <v>9</v>
      </c>
      <c r="C52" s="3">
        <v>13856</v>
      </c>
      <c r="D52" s="3">
        <v>395.8857142857143</v>
      </c>
      <c r="E52" s="3">
        <v>197.94285714285715</v>
      </c>
      <c r="F52" s="3">
        <v>122</v>
      </c>
      <c r="G52" s="3">
        <v>0</v>
      </c>
      <c r="H52" s="3">
        <v>-75.94285714285715</v>
      </c>
      <c r="I52" s="3">
        <v>-60.754285714285722</v>
      </c>
      <c r="J52" s="3">
        <v>-6.0754285714285725</v>
      </c>
      <c r="K52" s="3">
        <v>-2.5314285714285716</v>
      </c>
      <c r="L52" s="3">
        <v>-0.20251428571428576</v>
      </c>
    </row>
    <row r="53" spans="1:12" x14ac:dyDescent="0.25">
      <c r="A53" s="3" t="s">
        <v>19</v>
      </c>
      <c r="B53" s="3" t="s">
        <v>10</v>
      </c>
      <c r="C53" s="3">
        <v>84657</v>
      </c>
      <c r="D53" s="3">
        <v>2418.7714285714287</v>
      </c>
      <c r="E53" s="3">
        <v>1209.3857142857144</v>
      </c>
      <c r="F53" s="3">
        <v>517</v>
      </c>
      <c r="G53" s="3">
        <v>49</v>
      </c>
      <c r="H53" s="3">
        <v>-643.38571428571436</v>
      </c>
      <c r="I53" s="3">
        <v>-514.70857142857153</v>
      </c>
      <c r="J53" s="3">
        <v>-51.470857142857156</v>
      </c>
      <c r="K53" s="3">
        <v>-21.446190476190477</v>
      </c>
      <c r="L53" s="3">
        <v>-1.7156952380952386</v>
      </c>
    </row>
    <row r="54" spans="1:12" x14ac:dyDescent="0.25">
      <c r="A54" s="3" t="s">
        <v>19</v>
      </c>
      <c r="B54" s="3" t="s">
        <v>11</v>
      </c>
      <c r="C54" s="3">
        <v>290150</v>
      </c>
      <c r="D54" s="3">
        <v>8290</v>
      </c>
      <c r="E54" s="3">
        <v>4145</v>
      </c>
      <c r="F54" s="3">
        <v>932</v>
      </c>
      <c r="G54" s="3">
        <v>2</v>
      </c>
      <c r="H54" s="3">
        <v>-3211</v>
      </c>
      <c r="I54" s="3">
        <v>-2568.8000000000002</v>
      </c>
      <c r="J54" s="3">
        <v>-256.88000000000005</v>
      </c>
      <c r="K54" s="3">
        <v>-107.03333333333333</v>
      </c>
      <c r="L54" s="3">
        <v>-8.5626666666666686</v>
      </c>
    </row>
    <row r="55" spans="1:12" x14ac:dyDescent="0.25">
      <c r="A55" s="3" t="s">
        <v>19</v>
      </c>
      <c r="B55" s="3" t="s">
        <v>12</v>
      </c>
      <c r="C55" s="3">
        <v>52371</v>
      </c>
      <c r="D55" s="3">
        <v>1496.3142857142857</v>
      </c>
      <c r="E55" s="3">
        <v>748.15714285714284</v>
      </c>
      <c r="F55" s="3">
        <v>318</v>
      </c>
      <c r="G55" s="3">
        <v>0</v>
      </c>
      <c r="H55" s="3">
        <v>-430.15714285714284</v>
      </c>
      <c r="I55" s="3">
        <v>-344.12571428571431</v>
      </c>
      <c r="J55" s="3">
        <v>-34.412571428571432</v>
      </c>
      <c r="K55" s="3">
        <v>-14.338571428571429</v>
      </c>
      <c r="L55" s="3">
        <v>-1.1470857142857145</v>
      </c>
    </row>
    <row r="56" spans="1:12" x14ac:dyDescent="0.25">
      <c r="A56" s="3" t="s">
        <v>20</v>
      </c>
      <c r="B56" s="3" t="s">
        <v>4</v>
      </c>
      <c r="C56" s="3">
        <v>55699</v>
      </c>
      <c r="D56" s="3">
        <v>1591.4</v>
      </c>
      <c r="E56" s="3">
        <v>795.70000000000016</v>
      </c>
      <c r="F56" s="3">
        <v>136</v>
      </c>
      <c r="G56" s="3">
        <v>29</v>
      </c>
      <c r="H56" s="3">
        <v>-630.70000000000016</v>
      </c>
      <c r="I56" s="3">
        <v>-504.56000000000017</v>
      </c>
      <c r="J56" s="3">
        <v>-50.456000000000017</v>
      </c>
      <c r="K56" s="3">
        <v>-21.023333333333337</v>
      </c>
      <c r="L56" s="3">
        <v>-1.6818666666666673</v>
      </c>
    </row>
    <row r="57" spans="1:12" x14ac:dyDescent="0.25">
      <c r="A57" s="3" t="s">
        <v>20</v>
      </c>
      <c r="B57" s="3" t="s">
        <v>5</v>
      </c>
      <c r="C57" s="3">
        <v>51836</v>
      </c>
      <c r="D57" s="3">
        <v>1481.0285714285715</v>
      </c>
      <c r="E57" s="3">
        <v>740.51428571428585</v>
      </c>
      <c r="F57" s="3">
        <v>302</v>
      </c>
      <c r="G57" s="3">
        <v>30</v>
      </c>
      <c r="H57" s="3">
        <v>-408.51428571428585</v>
      </c>
      <c r="I57" s="3">
        <v>-326.81142857142868</v>
      </c>
      <c r="J57" s="3">
        <v>-32.681142857142866</v>
      </c>
      <c r="K57" s="3">
        <v>-13.617142857142861</v>
      </c>
      <c r="L57" s="3">
        <v>-1.0893714285714289</v>
      </c>
    </row>
    <row r="58" spans="1:12" x14ac:dyDescent="0.25">
      <c r="A58" s="3" t="s">
        <v>20</v>
      </c>
      <c r="B58" s="3" t="s">
        <v>6</v>
      </c>
      <c r="C58" s="3">
        <v>204021</v>
      </c>
      <c r="D58" s="3">
        <v>5829.1714285714288</v>
      </c>
      <c r="E58" s="3">
        <v>2914.5857142857144</v>
      </c>
      <c r="F58" s="3">
        <v>962</v>
      </c>
      <c r="G58" s="3">
        <v>72</v>
      </c>
      <c r="H58" s="3">
        <v>-1880.5857142857144</v>
      </c>
      <c r="I58" s="3">
        <v>-1504.4685714285715</v>
      </c>
      <c r="J58" s="3">
        <v>-150.44685714285717</v>
      </c>
      <c r="K58" s="3">
        <v>-62.686190476190482</v>
      </c>
      <c r="L58" s="3">
        <v>-5.0148952380952387</v>
      </c>
    </row>
    <row r="59" spans="1:12" x14ac:dyDescent="0.25">
      <c r="A59" s="3" t="s">
        <v>20</v>
      </c>
      <c r="B59" s="3" t="s">
        <v>7</v>
      </c>
      <c r="C59" s="3">
        <v>271621</v>
      </c>
      <c r="D59" s="3">
        <v>7760.6</v>
      </c>
      <c r="E59" s="3">
        <v>3880.3000000000006</v>
      </c>
      <c r="F59" s="3">
        <v>1480</v>
      </c>
      <c r="G59" s="3">
        <v>158</v>
      </c>
      <c r="H59" s="3">
        <v>-2242.3000000000006</v>
      </c>
      <c r="I59" s="3">
        <v>-1793.8400000000006</v>
      </c>
      <c r="J59" s="3">
        <v>-179.38400000000007</v>
      </c>
      <c r="K59" s="3">
        <v>-74.743333333333354</v>
      </c>
      <c r="L59" s="3">
        <v>-5.9794666666666689</v>
      </c>
    </row>
    <row r="60" spans="1:12" x14ac:dyDescent="0.25">
      <c r="A60" s="3" t="s">
        <v>20</v>
      </c>
      <c r="B60" s="3" t="s">
        <v>8</v>
      </c>
      <c r="C60" s="3">
        <v>57171</v>
      </c>
      <c r="D60" s="3">
        <v>1633.4571428571428</v>
      </c>
      <c r="E60" s="3">
        <v>816.7285714285714</v>
      </c>
      <c r="F60" s="3">
        <v>297</v>
      </c>
      <c r="G60" s="3">
        <v>26</v>
      </c>
      <c r="H60" s="3">
        <v>-493.7285714285714</v>
      </c>
      <c r="I60" s="3">
        <v>-394.98285714285714</v>
      </c>
      <c r="J60" s="3">
        <v>-39.498285714285714</v>
      </c>
      <c r="K60" s="3">
        <v>-16.457619047619048</v>
      </c>
      <c r="L60" s="3">
        <v>-1.3166095238095239</v>
      </c>
    </row>
    <row r="61" spans="1:12" x14ac:dyDescent="0.25">
      <c r="A61" s="3" t="s">
        <v>20</v>
      </c>
      <c r="B61" s="3" t="s">
        <v>9</v>
      </c>
      <c r="C61" s="3">
        <v>13856</v>
      </c>
      <c r="D61" s="3">
        <v>395.8857142857143</v>
      </c>
      <c r="E61" s="3">
        <v>197.94285714285715</v>
      </c>
      <c r="F61" s="3">
        <v>51</v>
      </c>
      <c r="G61" s="3">
        <v>0</v>
      </c>
      <c r="H61" s="3">
        <v>-146.94285714285715</v>
      </c>
      <c r="I61" s="3">
        <v>-117.55428571428573</v>
      </c>
      <c r="J61" s="3">
        <v>-11.755428571428574</v>
      </c>
      <c r="K61" s="3">
        <v>-4.8980952380952383</v>
      </c>
      <c r="L61" s="3">
        <v>-0.39184761904761911</v>
      </c>
    </row>
    <row r="62" spans="1:12" x14ac:dyDescent="0.25">
      <c r="A62" s="3" t="s">
        <v>20</v>
      </c>
      <c r="B62" s="3" t="s">
        <v>10</v>
      </c>
      <c r="C62" s="3">
        <v>84657</v>
      </c>
      <c r="D62" s="3">
        <v>2418.7714285714287</v>
      </c>
      <c r="E62" s="3">
        <v>1209.3857142857144</v>
      </c>
      <c r="F62" s="3">
        <v>517</v>
      </c>
      <c r="G62" s="3">
        <v>121</v>
      </c>
      <c r="H62" s="3">
        <v>-571.38571428571436</v>
      </c>
      <c r="I62" s="3">
        <v>-457.10857142857151</v>
      </c>
      <c r="J62" s="3">
        <v>-45.710857142857151</v>
      </c>
      <c r="K62" s="3">
        <v>-19.046190476190478</v>
      </c>
      <c r="L62" s="3">
        <v>-1.5236952380952384</v>
      </c>
    </row>
    <row r="63" spans="1:12" x14ac:dyDescent="0.25">
      <c r="A63" s="3" t="s">
        <v>20</v>
      </c>
      <c r="B63" s="3" t="s">
        <v>11</v>
      </c>
      <c r="C63" s="3">
        <v>290150</v>
      </c>
      <c r="D63" s="3">
        <v>8290</v>
      </c>
      <c r="E63" s="3">
        <v>4145</v>
      </c>
      <c r="F63" s="3">
        <v>758</v>
      </c>
      <c r="G63" s="3">
        <v>54</v>
      </c>
      <c r="H63" s="3">
        <v>-3333</v>
      </c>
      <c r="I63" s="3">
        <v>-2666.4</v>
      </c>
      <c r="J63" s="3">
        <v>-266.64000000000004</v>
      </c>
      <c r="K63" s="3">
        <v>-111.1</v>
      </c>
      <c r="L63" s="3">
        <v>-8.8880000000000017</v>
      </c>
    </row>
    <row r="64" spans="1:12" x14ac:dyDescent="0.25">
      <c r="A64" s="3" t="s">
        <v>20</v>
      </c>
      <c r="B64" s="3" t="s">
        <v>12</v>
      </c>
      <c r="C64" s="3">
        <v>52371</v>
      </c>
      <c r="D64" s="3">
        <v>1496.3142857142857</v>
      </c>
      <c r="E64" s="3">
        <v>748.15714285714284</v>
      </c>
      <c r="F64" s="3">
        <v>301</v>
      </c>
      <c r="G64" s="3">
        <v>39</v>
      </c>
      <c r="H64" s="3">
        <v>-408.15714285714284</v>
      </c>
      <c r="I64" s="3">
        <v>-326.52571428571429</v>
      </c>
      <c r="J64" s="3">
        <v>-32.652571428571427</v>
      </c>
      <c r="K64" s="3">
        <v>-13.605238095238095</v>
      </c>
      <c r="L64" s="3">
        <v>-1.0884190476190476</v>
      </c>
    </row>
    <row r="65" spans="1:12" x14ac:dyDescent="0.25">
      <c r="A65" s="3" t="s">
        <v>21</v>
      </c>
      <c r="B65" s="3" t="s">
        <v>4</v>
      </c>
      <c r="C65" s="3">
        <v>55699</v>
      </c>
      <c r="D65" s="3">
        <v>1591.4</v>
      </c>
      <c r="E65" s="3">
        <v>795.70000000000016</v>
      </c>
      <c r="F65" s="3">
        <v>178</v>
      </c>
      <c r="G65" s="3">
        <v>0</v>
      </c>
      <c r="H65" s="3">
        <v>-617.70000000000016</v>
      </c>
      <c r="I65" s="3">
        <v>-494.16000000000014</v>
      </c>
      <c r="J65" s="3">
        <v>-49.416000000000018</v>
      </c>
      <c r="K65" s="3">
        <v>-20.590000000000007</v>
      </c>
      <c r="L65" s="3">
        <v>-1.6472000000000007</v>
      </c>
    </row>
    <row r="66" spans="1:12" x14ac:dyDescent="0.25">
      <c r="A66" s="3" t="s">
        <v>21</v>
      </c>
      <c r="B66" s="3" t="s">
        <v>5</v>
      </c>
      <c r="C66" s="3">
        <v>51836</v>
      </c>
      <c r="D66" s="3">
        <v>1481.0285714285715</v>
      </c>
      <c r="E66" s="3">
        <v>740.51428571428585</v>
      </c>
      <c r="F66" s="3">
        <v>234</v>
      </c>
      <c r="G66" s="3">
        <v>29</v>
      </c>
      <c r="H66" s="3">
        <v>-477.51428571428585</v>
      </c>
      <c r="I66" s="3">
        <v>-382.01142857142872</v>
      </c>
      <c r="J66" s="3">
        <v>-38.201142857142877</v>
      </c>
      <c r="K66" s="3">
        <v>-15.917142857142862</v>
      </c>
      <c r="L66" s="3">
        <v>-1.2733714285714293</v>
      </c>
    </row>
    <row r="67" spans="1:12" x14ac:dyDescent="0.25">
      <c r="A67" s="3" t="s">
        <v>21</v>
      </c>
      <c r="B67" s="3" t="s">
        <v>6</v>
      </c>
      <c r="C67" s="3">
        <v>204021</v>
      </c>
      <c r="D67" s="3">
        <v>5829.1714285714288</v>
      </c>
      <c r="E67" s="3">
        <v>2914.5857142857144</v>
      </c>
      <c r="F67" s="3">
        <v>710</v>
      </c>
      <c r="G67" s="3">
        <v>0</v>
      </c>
      <c r="H67" s="3">
        <v>-2204.5857142857144</v>
      </c>
      <c r="I67" s="3">
        <v>-1763.6685714285716</v>
      </c>
      <c r="J67" s="3">
        <v>-176.36685714285716</v>
      </c>
      <c r="K67" s="3">
        <v>-73.486190476190487</v>
      </c>
      <c r="L67" s="3">
        <v>-5.8788952380952386</v>
      </c>
    </row>
    <row r="68" spans="1:12" x14ac:dyDescent="0.25">
      <c r="A68" s="3" t="s">
        <v>21</v>
      </c>
      <c r="B68" s="3" t="s">
        <v>7</v>
      </c>
      <c r="C68" s="3">
        <v>271621</v>
      </c>
      <c r="D68" s="3">
        <v>7760.6</v>
      </c>
      <c r="E68" s="3">
        <v>3880.3000000000006</v>
      </c>
      <c r="F68" s="3">
        <v>1073</v>
      </c>
      <c r="G68" s="3">
        <v>0</v>
      </c>
      <c r="H68" s="3">
        <v>-2807.3000000000006</v>
      </c>
      <c r="I68" s="3">
        <v>-2245.8400000000006</v>
      </c>
      <c r="J68" s="3">
        <v>-224.58400000000006</v>
      </c>
      <c r="K68" s="3">
        <v>-93.576666666666682</v>
      </c>
      <c r="L68" s="3">
        <v>-7.4861333333333357</v>
      </c>
    </row>
    <row r="69" spans="1:12" x14ac:dyDescent="0.25">
      <c r="A69" s="3" t="s">
        <v>21</v>
      </c>
      <c r="B69" s="3" t="s">
        <v>8</v>
      </c>
      <c r="C69" s="3">
        <v>57171</v>
      </c>
      <c r="D69" s="3">
        <v>1633.4571428571428</v>
      </c>
      <c r="E69" s="3">
        <v>816.7285714285714</v>
      </c>
      <c r="F69" s="3">
        <v>229</v>
      </c>
      <c r="G69" s="3">
        <v>0</v>
      </c>
      <c r="H69" s="3">
        <v>-587.7285714285714</v>
      </c>
      <c r="I69" s="3">
        <v>-470.18285714285713</v>
      </c>
      <c r="J69" s="3">
        <v>-47.018285714285717</v>
      </c>
      <c r="K69" s="3">
        <v>-19.59095238095238</v>
      </c>
      <c r="L69" s="3">
        <v>-1.5672761904761905</v>
      </c>
    </row>
    <row r="70" spans="1:12" x14ac:dyDescent="0.25">
      <c r="A70" s="3" t="s">
        <v>21</v>
      </c>
      <c r="B70" s="3" t="s">
        <v>9</v>
      </c>
      <c r="C70" s="3">
        <v>13856</v>
      </c>
      <c r="D70" s="3">
        <v>395.8857142857143</v>
      </c>
      <c r="E70" s="3">
        <v>197.94285714285715</v>
      </c>
      <c r="F70" s="3">
        <v>62</v>
      </c>
      <c r="G70" s="3">
        <v>0</v>
      </c>
      <c r="H70" s="3">
        <v>-135.94285714285715</v>
      </c>
      <c r="I70" s="3">
        <v>-108.75428571428573</v>
      </c>
      <c r="J70" s="3">
        <v>-10.875428571428573</v>
      </c>
      <c r="K70" s="3">
        <v>-4.531428571428572</v>
      </c>
      <c r="L70" s="3">
        <v>-0.36251428571428579</v>
      </c>
    </row>
    <row r="71" spans="1:12" x14ac:dyDescent="0.25">
      <c r="A71" s="3" t="s">
        <v>21</v>
      </c>
      <c r="B71" s="3" t="s">
        <v>10</v>
      </c>
      <c r="C71" s="3">
        <v>84657</v>
      </c>
      <c r="D71" s="3">
        <v>2418.7714285714287</v>
      </c>
      <c r="E71" s="3">
        <v>1209.3857142857144</v>
      </c>
      <c r="F71" s="3">
        <v>307</v>
      </c>
      <c r="G71" s="3">
        <v>0</v>
      </c>
      <c r="H71" s="3">
        <v>-902.38571428571436</v>
      </c>
      <c r="I71" s="3">
        <v>-721.90857142857158</v>
      </c>
      <c r="J71" s="3">
        <v>-72.190857142857155</v>
      </c>
      <c r="K71" s="3">
        <v>-30.079523809523813</v>
      </c>
      <c r="L71" s="3">
        <v>-2.4063619047619054</v>
      </c>
    </row>
    <row r="72" spans="1:12" x14ac:dyDescent="0.25">
      <c r="A72" s="3" t="s">
        <v>21</v>
      </c>
      <c r="B72" s="3" t="s">
        <v>11</v>
      </c>
      <c r="C72" s="3">
        <v>290150</v>
      </c>
      <c r="D72" s="3">
        <v>8290</v>
      </c>
      <c r="E72" s="3">
        <v>4145</v>
      </c>
      <c r="F72" s="3">
        <v>685</v>
      </c>
      <c r="G72" s="3">
        <v>29</v>
      </c>
      <c r="H72" s="3">
        <v>-3431</v>
      </c>
      <c r="I72" s="3">
        <v>-2744.8</v>
      </c>
      <c r="J72" s="3">
        <v>-274.48</v>
      </c>
      <c r="K72" s="3">
        <v>-114.36666666666666</v>
      </c>
      <c r="L72" s="3">
        <v>-9.1493333333333347</v>
      </c>
    </row>
    <row r="73" spans="1:12" x14ac:dyDescent="0.25">
      <c r="A73" s="3" t="s">
        <v>21</v>
      </c>
      <c r="B73" s="3" t="s">
        <v>12</v>
      </c>
      <c r="C73" s="3">
        <v>52371</v>
      </c>
      <c r="D73" s="3">
        <v>1496.3142857142857</v>
      </c>
      <c r="E73" s="3">
        <v>748.15714285714284</v>
      </c>
      <c r="F73" s="3">
        <v>260</v>
      </c>
      <c r="G73" s="3">
        <v>0</v>
      </c>
      <c r="H73" s="3">
        <v>-488.15714285714284</v>
      </c>
      <c r="I73" s="3">
        <v>-390.52571428571429</v>
      </c>
      <c r="J73" s="3">
        <v>-39.052571428571433</v>
      </c>
      <c r="K73" s="3">
        <v>-16.271904761904761</v>
      </c>
      <c r="L73" s="3">
        <v>-1.301752380952381</v>
      </c>
    </row>
    <row r="74" spans="1:12" x14ac:dyDescent="0.25">
      <c r="A74" s="3" t="s">
        <v>22</v>
      </c>
      <c r="B74" s="3" t="s">
        <v>4</v>
      </c>
      <c r="C74" s="3">
        <v>55699</v>
      </c>
      <c r="D74" s="3">
        <v>1591.4</v>
      </c>
      <c r="E74" s="3">
        <v>795.70000000000016</v>
      </c>
      <c r="F74" s="3">
        <v>174</v>
      </c>
      <c r="G74" s="3">
        <v>0</v>
      </c>
      <c r="H74" s="3">
        <v>-621.70000000000016</v>
      </c>
      <c r="I74" s="3">
        <v>-497.36000000000013</v>
      </c>
      <c r="J74" s="3">
        <v>-49.736000000000018</v>
      </c>
      <c r="K74" s="3">
        <v>-20.72333333333334</v>
      </c>
      <c r="L74" s="3">
        <v>-1.6578666666666673</v>
      </c>
    </row>
    <row r="75" spans="1:12" x14ac:dyDescent="0.25">
      <c r="A75" s="3" t="s">
        <v>22</v>
      </c>
      <c r="B75" s="3" t="s">
        <v>5</v>
      </c>
      <c r="C75" s="3">
        <v>51836</v>
      </c>
      <c r="D75" s="3">
        <v>1481.0285714285715</v>
      </c>
      <c r="E75" s="3">
        <v>740.51428571428585</v>
      </c>
      <c r="F75" s="3">
        <v>129</v>
      </c>
      <c r="G75" s="3">
        <v>0</v>
      </c>
      <c r="H75" s="3">
        <v>-611.51428571428585</v>
      </c>
      <c r="I75" s="3">
        <v>-489.21142857142871</v>
      </c>
      <c r="J75" s="3">
        <v>-48.921142857142875</v>
      </c>
      <c r="K75" s="3">
        <v>-20.383809523809528</v>
      </c>
      <c r="L75" s="3">
        <v>-1.6307047619047625</v>
      </c>
    </row>
    <row r="76" spans="1:12" x14ac:dyDescent="0.25">
      <c r="A76" s="3" t="s">
        <v>22</v>
      </c>
      <c r="B76" s="3" t="s">
        <v>6</v>
      </c>
      <c r="C76" s="3">
        <v>204021</v>
      </c>
      <c r="D76" s="3">
        <v>5829.1714285714288</v>
      </c>
      <c r="E76" s="3">
        <v>2914.5857142857144</v>
      </c>
      <c r="F76" s="3">
        <v>449</v>
      </c>
      <c r="G76" s="3">
        <v>35</v>
      </c>
      <c r="H76" s="3">
        <v>-2430.5857142857144</v>
      </c>
      <c r="I76" s="3">
        <v>-1944.4685714285715</v>
      </c>
      <c r="J76" s="3">
        <v>-194.44685714285717</v>
      </c>
      <c r="K76" s="3">
        <v>-81.019523809523818</v>
      </c>
      <c r="L76" s="3">
        <v>-6.4815619047619055</v>
      </c>
    </row>
    <row r="77" spans="1:12" x14ac:dyDescent="0.25">
      <c r="A77" s="3" t="s">
        <v>22</v>
      </c>
      <c r="B77" s="3" t="s">
        <v>7</v>
      </c>
      <c r="C77" s="3">
        <v>271621</v>
      </c>
      <c r="D77" s="3">
        <v>7760.6</v>
      </c>
      <c r="E77" s="3">
        <v>3880.3000000000006</v>
      </c>
      <c r="F77" s="3">
        <v>815</v>
      </c>
      <c r="G77" s="3">
        <v>0</v>
      </c>
      <c r="H77" s="3">
        <v>-3065.3000000000006</v>
      </c>
      <c r="I77" s="3">
        <v>-2452.2400000000007</v>
      </c>
      <c r="J77" s="3">
        <v>-245.22400000000007</v>
      </c>
      <c r="K77" s="3">
        <v>-102.17666666666669</v>
      </c>
      <c r="L77" s="3">
        <v>-8.1741333333333355</v>
      </c>
    </row>
    <row r="78" spans="1:12" x14ac:dyDescent="0.25">
      <c r="A78" s="3" t="s">
        <v>22</v>
      </c>
      <c r="B78" s="3" t="s">
        <v>8</v>
      </c>
      <c r="C78" s="3">
        <v>57171</v>
      </c>
      <c r="D78" s="3">
        <v>1633.4571428571428</v>
      </c>
      <c r="E78" s="3">
        <v>816.7285714285714</v>
      </c>
      <c r="F78" s="3">
        <v>184</v>
      </c>
      <c r="G78" s="3">
        <v>26</v>
      </c>
      <c r="H78" s="3">
        <v>-606.7285714285714</v>
      </c>
      <c r="I78" s="3">
        <v>-485.38285714285712</v>
      </c>
      <c r="J78" s="3">
        <v>-48.538285714285713</v>
      </c>
      <c r="K78" s="3">
        <v>-20.224285714285713</v>
      </c>
      <c r="L78" s="3">
        <v>-1.6179428571428571</v>
      </c>
    </row>
    <row r="79" spans="1:12" x14ac:dyDescent="0.25">
      <c r="A79" s="3" t="s">
        <v>22</v>
      </c>
      <c r="B79" s="3" t="s">
        <v>9</v>
      </c>
      <c r="C79" s="3">
        <v>13856</v>
      </c>
      <c r="D79" s="3">
        <v>395.8857142857143</v>
      </c>
      <c r="E79" s="3">
        <v>197.94285714285715</v>
      </c>
      <c r="F79" s="3">
        <v>68</v>
      </c>
      <c r="G79" s="3">
        <v>0</v>
      </c>
      <c r="H79" s="3">
        <v>-129.94285714285715</v>
      </c>
      <c r="I79" s="3">
        <v>-103.95428571428573</v>
      </c>
      <c r="J79" s="3">
        <v>-10.395428571428575</v>
      </c>
      <c r="K79" s="3">
        <v>-4.3314285714285718</v>
      </c>
      <c r="L79" s="3">
        <v>-0.34651428571428583</v>
      </c>
    </row>
    <row r="80" spans="1:12" x14ac:dyDescent="0.25">
      <c r="A80" s="3" t="s">
        <v>22</v>
      </c>
      <c r="B80" s="3" t="s">
        <v>10</v>
      </c>
      <c r="C80" s="3">
        <v>84657</v>
      </c>
      <c r="D80" s="3">
        <v>2418.7714285714287</v>
      </c>
      <c r="E80" s="3">
        <v>1209.3857142857144</v>
      </c>
      <c r="F80" s="3">
        <v>334</v>
      </c>
      <c r="G80" s="3">
        <v>0</v>
      </c>
      <c r="H80" s="3">
        <v>-875.38571428571436</v>
      </c>
      <c r="I80" s="3">
        <v>-700.30857142857155</v>
      </c>
      <c r="J80" s="3">
        <v>-70.030857142857158</v>
      </c>
      <c r="K80" s="3">
        <v>-29.179523809523811</v>
      </c>
      <c r="L80" s="3">
        <v>-2.3343619047619053</v>
      </c>
    </row>
    <row r="81" spans="1:12" x14ac:dyDescent="0.25">
      <c r="A81" s="3" t="s">
        <v>22</v>
      </c>
      <c r="B81" s="3" t="s">
        <v>11</v>
      </c>
      <c r="C81" s="3">
        <v>290150</v>
      </c>
      <c r="D81" s="3">
        <v>8290</v>
      </c>
      <c r="E81" s="3">
        <v>4145</v>
      </c>
      <c r="F81" s="3">
        <v>513</v>
      </c>
      <c r="G81" s="3">
        <v>0</v>
      </c>
      <c r="H81" s="3">
        <v>-3632</v>
      </c>
      <c r="I81" s="3">
        <v>-2905.6000000000004</v>
      </c>
      <c r="J81" s="3">
        <v>-290.56000000000006</v>
      </c>
      <c r="K81" s="3">
        <v>-121.06666666666666</v>
      </c>
      <c r="L81" s="3">
        <v>-9.685333333333336</v>
      </c>
    </row>
    <row r="82" spans="1:12" x14ac:dyDescent="0.25">
      <c r="A82" s="3" t="s">
        <v>22</v>
      </c>
      <c r="B82" s="3" t="s">
        <v>12</v>
      </c>
      <c r="C82" s="3">
        <v>52371</v>
      </c>
      <c r="D82" s="3">
        <v>1496.3142857142857</v>
      </c>
      <c r="E82" s="3">
        <v>748.15714285714284</v>
      </c>
      <c r="F82" s="3">
        <v>199</v>
      </c>
      <c r="G82" s="3">
        <v>25</v>
      </c>
      <c r="H82" s="3">
        <v>-524.15714285714284</v>
      </c>
      <c r="I82" s="3">
        <v>-419.3257142857143</v>
      </c>
      <c r="J82" s="3">
        <v>-41.932571428571435</v>
      </c>
      <c r="K82" s="3">
        <v>-17.47190476190476</v>
      </c>
      <c r="L82" s="3">
        <v>-1.3977523809523811</v>
      </c>
    </row>
    <row r="83" spans="1:12" x14ac:dyDescent="0.25">
      <c r="A83" s="3" t="s">
        <v>23</v>
      </c>
      <c r="B83" s="3" t="s">
        <v>4</v>
      </c>
      <c r="C83" s="3">
        <v>55699</v>
      </c>
      <c r="D83" s="3">
        <v>1591.4</v>
      </c>
      <c r="E83" s="3">
        <v>795.70000000000016</v>
      </c>
      <c r="F83" s="3">
        <v>107</v>
      </c>
      <c r="G83" s="3">
        <v>0</v>
      </c>
      <c r="H83" s="3">
        <v>-688.70000000000016</v>
      </c>
      <c r="I83" s="3">
        <v>-550.96000000000015</v>
      </c>
      <c r="J83" s="3">
        <v>-55.096000000000018</v>
      </c>
      <c r="K83" s="3">
        <v>-22.956666666666671</v>
      </c>
      <c r="L83" s="3">
        <v>-1.836533333333334</v>
      </c>
    </row>
    <row r="84" spans="1:12" x14ac:dyDescent="0.25">
      <c r="A84" s="3" t="s">
        <v>23</v>
      </c>
      <c r="B84" s="3" t="s">
        <v>5</v>
      </c>
      <c r="C84" s="3">
        <v>51836</v>
      </c>
      <c r="D84" s="3">
        <v>1481.0285714285715</v>
      </c>
      <c r="E84" s="3">
        <v>740.51428571428585</v>
      </c>
      <c r="F84" s="3">
        <v>283</v>
      </c>
      <c r="G84" s="3">
        <v>0</v>
      </c>
      <c r="H84" s="3">
        <v>-457.51428571428585</v>
      </c>
      <c r="I84" s="3">
        <v>-366.01142857142872</v>
      </c>
      <c r="J84" s="3">
        <v>-36.601142857142875</v>
      </c>
      <c r="K84" s="3">
        <v>-15.250476190476196</v>
      </c>
      <c r="L84" s="3">
        <v>-1.2200380952380958</v>
      </c>
    </row>
    <row r="85" spans="1:12" x14ac:dyDescent="0.25">
      <c r="A85" s="3" t="s">
        <v>23</v>
      </c>
      <c r="B85" s="3" t="s">
        <v>6</v>
      </c>
      <c r="C85" s="3">
        <v>204021</v>
      </c>
      <c r="D85" s="3">
        <v>5829.1714285714288</v>
      </c>
      <c r="E85" s="3">
        <v>2914.5857142857144</v>
      </c>
      <c r="F85" s="3">
        <v>848</v>
      </c>
      <c r="G85" s="3">
        <v>0</v>
      </c>
      <c r="H85" s="3">
        <v>-2066.5857142857144</v>
      </c>
      <c r="I85" s="3">
        <v>-1653.2685714285717</v>
      </c>
      <c r="J85" s="3">
        <v>-165.32685714285719</v>
      </c>
      <c r="K85" s="3">
        <v>-68.886190476190478</v>
      </c>
      <c r="L85" s="3">
        <v>-5.5108952380952401</v>
      </c>
    </row>
    <row r="86" spans="1:12" x14ac:dyDescent="0.25">
      <c r="A86" s="3" t="s">
        <v>23</v>
      </c>
      <c r="B86" s="3" t="s">
        <v>7</v>
      </c>
      <c r="C86" s="3">
        <v>271621</v>
      </c>
      <c r="D86" s="3">
        <v>7760.6</v>
      </c>
      <c r="E86" s="3">
        <v>3880.3000000000006</v>
      </c>
      <c r="F86" s="3">
        <v>1103</v>
      </c>
      <c r="G86" s="3">
        <v>0</v>
      </c>
      <c r="H86" s="3">
        <v>-2777.3000000000006</v>
      </c>
      <c r="I86" s="3">
        <v>-2221.8400000000006</v>
      </c>
      <c r="J86" s="3">
        <v>-222.18400000000008</v>
      </c>
      <c r="K86" s="3">
        <v>-92.576666666666682</v>
      </c>
      <c r="L86" s="3">
        <v>-7.4061333333333357</v>
      </c>
    </row>
    <row r="87" spans="1:12" x14ac:dyDescent="0.25">
      <c r="A87" s="3" t="s">
        <v>23</v>
      </c>
      <c r="B87" s="3" t="s">
        <v>8</v>
      </c>
      <c r="C87" s="3">
        <v>57171</v>
      </c>
      <c r="D87" s="3">
        <v>1633.4571428571428</v>
      </c>
      <c r="E87" s="3">
        <v>816.7285714285714</v>
      </c>
      <c r="F87" s="3">
        <v>269</v>
      </c>
      <c r="G87" s="3">
        <v>0</v>
      </c>
      <c r="H87" s="3">
        <v>-547.7285714285714</v>
      </c>
      <c r="I87" s="3">
        <v>-438.18285714285713</v>
      </c>
      <c r="J87" s="3">
        <v>-43.818285714285715</v>
      </c>
      <c r="K87" s="3">
        <v>-18.257619047619048</v>
      </c>
      <c r="L87" s="3">
        <v>-1.4606095238095238</v>
      </c>
    </row>
    <row r="88" spans="1:12" x14ac:dyDescent="0.25">
      <c r="A88" s="3" t="s">
        <v>23</v>
      </c>
      <c r="B88" s="3" t="s">
        <v>9</v>
      </c>
      <c r="C88" s="3">
        <v>13856</v>
      </c>
      <c r="D88" s="3">
        <v>395.8857142857143</v>
      </c>
      <c r="E88" s="3">
        <v>197.94285714285715</v>
      </c>
      <c r="F88" s="3">
        <v>29</v>
      </c>
      <c r="G88" s="3">
        <v>0</v>
      </c>
      <c r="H88" s="3">
        <v>-168.94285714285715</v>
      </c>
      <c r="I88" s="3">
        <v>-135.15428571428572</v>
      </c>
      <c r="J88" s="3">
        <v>-13.515428571428572</v>
      </c>
      <c r="K88" s="3">
        <v>-5.6314285714285717</v>
      </c>
      <c r="L88" s="3">
        <v>-0.45051428571428576</v>
      </c>
    </row>
    <row r="89" spans="1:12" x14ac:dyDescent="0.25">
      <c r="A89" s="3" t="s">
        <v>23</v>
      </c>
      <c r="B89" s="3" t="s">
        <v>10</v>
      </c>
      <c r="C89" s="3">
        <v>84657</v>
      </c>
      <c r="D89" s="3">
        <v>2418.7714285714287</v>
      </c>
      <c r="E89" s="3">
        <v>1209.3857142857144</v>
      </c>
      <c r="F89" s="3">
        <v>333</v>
      </c>
      <c r="G89" s="3">
        <v>0</v>
      </c>
      <c r="H89" s="3">
        <v>-876.38571428571436</v>
      </c>
      <c r="I89" s="3">
        <v>-701.10857142857151</v>
      </c>
      <c r="J89" s="3">
        <v>-70.110857142857157</v>
      </c>
      <c r="K89" s="3">
        <v>-29.212857142857146</v>
      </c>
      <c r="L89" s="3">
        <v>-2.3370285714285717</v>
      </c>
    </row>
    <row r="90" spans="1:12" x14ac:dyDescent="0.25">
      <c r="A90" s="3" t="s">
        <v>23</v>
      </c>
      <c r="B90" s="3" t="s">
        <v>11</v>
      </c>
      <c r="C90" s="3">
        <v>290150</v>
      </c>
      <c r="D90" s="3">
        <v>8290</v>
      </c>
      <c r="E90" s="3">
        <v>4145</v>
      </c>
      <c r="F90" s="3">
        <v>700</v>
      </c>
      <c r="G90" s="3">
        <v>0</v>
      </c>
      <c r="H90" s="3">
        <v>-3445</v>
      </c>
      <c r="I90" s="3">
        <v>-2756</v>
      </c>
      <c r="J90" s="3">
        <v>-275.60000000000002</v>
      </c>
      <c r="K90" s="3">
        <v>-114.83333333333333</v>
      </c>
      <c r="L90" s="3">
        <v>-9.1866666666666674</v>
      </c>
    </row>
    <row r="91" spans="1:12" x14ac:dyDescent="0.25">
      <c r="A91" s="3" t="s">
        <v>23</v>
      </c>
      <c r="B91" s="3" t="s">
        <v>12</v>
      </c>
      <c r="C91" s="3">
        <v>52371</v>
      </c>
      <c r="D91" s="3">
        <v>1496.3142857142857</v>
      </c>
      <c r="E91" s="3">
        <v>748.15714285714284</v>
      </c>
      <c r="F91" s="3">
        <v>229</v>
      </c>
      <c r="G91" s="3">
        <v>0</v>
      </c>
      <c r="H91" s="3">
        <v>-519.15714285714284</v>
      </c>
      <c r="I91" s="3">
        <v>-415.3257142857143</v>
      </c>
      <c r="J91" s="3">
        <v>-41.53257142857143</v>
      </c>
      <c r="K91" s="3">
        <v>-17.305238095238096</v>
      </c>
      <c r="L91" s="3">
        <v>-1.3844190476190477</v>
      </c>
    </row>
    <row r="92" spans="1:12" x14ac:dyDescent="0.25">
      <c r="A92" s="3" t="s">
        <v>36</v>
      </c>
      <c r="B92" s="3" t="s">
        <v>4</v>
      </c>
      <c r="C92" s="3">
        <v>55699</v>
      </c>
      <c r="D92" s="3">
        <v>1591.4</v>
      </c>
      <c r="E92" s="3">
        <v>2121.8666666666668</v>
      </c>
      <c r="F92" s="3">
        <v>626</v>
      </c>
      <c r="G92" s="3">
        <v>0</v>
      </c>
      <c r="H92" s="3">
        <v>-1495.8666666666668</v>
      </c>
      <c r="I92" s="3">
        <v>-1196.6933333333334</v>
      </c>
      <c r="J92" s="3">
        <v>-119.66933333333334</v>
      </c>
      <c r="K92" s="3">
        <v>-49.862222222222229</v>
      </c>
      <c r="L92" s="3">
        <v>-3.988977777777778</v>
      </c>
    </row>
    <row r="93" spans="1:12" x14ac:dyDescent="0.25">
      <c r="A93" s="3" t="s">
        <v>36</v>
      </c>
      <c r="B93" s="3" t="s">
        <v>5</v>
      </c>
      <c r="C93" s="3">
        <v>51836</v>
      </c>
      <c r="D93" s="3">
        <v>1481.0285714285715</v>
      </c>
      <c r="E93" s="3">
        <v>1974.7047619047619</v>
      </c>
      <c r="F93" s="3">
        <v>631</v>
      </c>
      <c r="G93" s="3">
        <v>0</v>
      </c>
      <c r="H93" s="3">
        <v>-1343.7047619047619</v>
      </c>
      <c r="I93" s="3">
        <v>-1074.9638095238095</v>
      </c>
      <c r="J93" s="3">
        <v>-107.49638095238095</v>
      </c>
      <c r="K93" s="3">
        <v>-44.79015873015873</v>
      </c>
      <c r="L93" s="3">
        <v>-3.5832126984126984</v>
      </c>
    </row>
    <row r="94" spans="1:12" x14ac:dyDescent="0.25">
      <c r="A94" s="3" t="s">
        <v>36</v>
      </c>
      <c r="B94" s="3" t="s">
        <v>6</v>
      </c>
      <c r="C94" s="3">
        <v>204021</v>
      </c>
      <c r="D94" s="3">
        <v>5829.1714285714288</v>
      </c>
      <c r="E94" s="3">
        <v>7772.2285714285717</v>
      </c>
      <c r="F94" s="3">
        <v>2165</v>
      </c>
      <c r="G94" s="3">
        <v>27</v>
      </c>
      <c r="H94" s="3">
        <v>-5580.2285714285717</v>
      </c>
      <c r="I94" s="3">
        <v>-4464.1828571428578</v>
      </c>
      <c r="J94" s="3">
        <v>-446.41828571428579</v>
      </c>
      <c r="K94" s="3">
        <v>-186.00761904761904</v>
      </c>
      <c r="L94" s="3">
        <v>-14.880609523809527</v>
      </c>
    </row>
    <row r="95" spans="1:12" x14ac:dyDescent="0.25">
      <c r="A95" s="3" t="s">
        <v>36</v>
      </c>
      <c r="B95" s="3" t="s">
        <v>7</v>
      </c>
      <c r="C95" s="3">
        <v>271621</v>
      </c>
      <c r="D95" s="3">
        <v>7760.6</v>
      </c>
      <c r="E95" s="3">
        <v>10347.466666666667</v>
      </c>
      <c r="F95" s="3">
        <v>3112</v>
      </c>
      <c r="G95" s="3">
        <v>21</v>
      </c>
      <c r="H95" s="3">
        <v>-7214.4666666666672</v>
      </c>
      <c r="I95" s="3">
        <v>-5771.5733333333337</v>
      </c>
      <c r="J95" s="3">
        <v>-577.15733333333344</v>
      </c>
      <c r="K95" s="3">
        <v>-240.48222222222225</v>
      </c>
      <c r="L95" s="3">
        <v>-19.238577777777781</v>
      </c>
    </row>
    <row r="96" spans="1:12" x14ac:dyDescent="0.25">
      <c r="A96" s="3" t="s">
        <v>36</v>
      </c>
      <c r="B96" s="3" t="s">
        <v>8</v>
      </c>
      <c r="C96" s="3">
        <v>57171</v>
      </c>
      <c r="D96" s="3">
        <v>1633.4571428571428</v>
      </c>
      <c r="E96" s="3">
        <v>2177.9428571428571</v>
      </c>
      <c r="F96" s="3">
        <v>695</v>
      </c>
      <c r="G96" s="3">
        <v>0</v>
      </c>
      <c r="H96" s="3">
        <v>-1482.9428571428571</v>
      </c>
      <c r="I96" s="3">
        <v>-1186.3542857142857</v>
      </c>
      <c r="J96" s="3">
        <v>-118.63542857142858</v>
      </c>
      <c r="K96" s="3">
        <v>-49.431428571428569</v>
      </c>
      <c r="L96" s="3">
        <v>-3.9545142857142861</v>
      </c>
    </row>
    <row r="97" spans="1:12" x14ac:dyDescent="0.25">
      <c r="A97" s="3" t="s">
        <v>36</v>
      </c>
      <c r="B97" s="3" t="s">
        <v>9</v>
      </c>
      <c r="C97" s="3">
        <v>13856</v>
      </c>
      <c r="D97" s="3">
        <v>395.8857142857143</v>
      </c>
      <c r="E97" s="3">
        <v>527.84761904761911</v>
      </c>
      <c r="F97" s="3">
        <v>160</v>
      </c>
      <c r="G97" s="3">
        <v>23</v>
      </c>
      <c r="H97" s="3">
        <v>-344.84761904761911</v>
      </c>
      <c r="I97" s="3">
        <v>-275.87809523809528</v>
      </c>
      <c r="J97" s="3">
        <v>-27.587809523809529</v>
      </c>
      <c r="K97" s="3">
        <v>-11.494920634920637</v>
      </c>
      <c r="L97" s="3">
        <v>-0.91959365079365096</v>
      </c>
    </row>
    <row r="98" spans="1:12" x14ac:dyDescent="0.25">
      <c r="A98" s="3" t="s">
        <v>36</v>
      </c>
      <c r="B98" s="3" t="s">
        <v>10</v>
      </c>
      <c r="C98" s="3">
        <v>84657</v>
      </c>
      <c r="D98" s="3">
        <v>2418.7714285714287</v>
      </c>
      <c r="E98" s="3">
        <v>3225.0285714285715</v>
      </c>
      <c r="F98" s="3">
        <v>1218</v>
      </c>
      <c r="G98" s="3">
        <v>0</v>
      </c>
      <c r="H98" s="3">
        <v>-2007.0285714285715</v>
      </c>
      <c r="I98" s="3">
        <v>-1605.6228571428574</v>
      </c>
      <c r="J98" s="3">
        <v>-160.56228571428574</v>
      </c>
      <c r="K98" s="3">
        <v>-66.900952380952376</v>
      </c>
      <c r="L98" s="3">
        <v>-5.3520761904761915</v>
      </c>
    </row>
    <row r="99" spans="1:12" x14ac:dyDescent="0.25">
      <c r="A99" s="3" t="s">
        <v>36</v>
      </c>
      <c r="B99" s="3" t="s">
        <v>11</v>
      </c>
      <c r="C99" s="3">
        <v>290150</v>
      </c>
      <c r="D99" s="3">
        <v>8290</v>
      </c>
      <c r="E99" s="3">
        <v>11053.333333333334</v>
      </c>
      <c r="F99" s="3">
        <v>2357</v>
      </c>
      <c r="G99" s="3">
        <v>0</v>
      </c>
      <c r="H99" s="3">
        <v>-8696.3333333333339</v>
      </c>
      <c r="I99" s="3">
        <v>-6957.0666666666675</v>
      </c>
      <c r="J99" s="3">
        <v>-695.70666666666682</v>
      </c>
      <c r="K99" s="3">
        <v>-289.87777777777779</v>
      </c>
      <c r="L99" s="3">
        <v>-23.190222222222229</v>
      </c>
    </row>
    <row r="100" spans="1:12" x14ac:dyDescent="0.25">
      <c r="A100" s="3" t="s">
        <v>36</v>
      </c>
      <c r="B100" s="3" t="s">
        <v>12</v>
      </c>
      <c r="C100" s="3">
        <v>52371</v>
      </c>
      <c r="D100" s="3">
        <v>1496.3142857142857</v>
      </c>
      <c r="E100" s="3">
        <v>1995.0857142857142</v>
      </c>
      <c r="F100" s="3">
        <v>685</v>
      </c>
      <c r="G100" s="3">
        <v>0</v>
      </c>
      <c r="H100" s="3">
        <v>-1310.0857142857142</v>
      </c>
      <c r="I100" s="3">
        <v>-1048.0685714285714</v>
      </c>
      <c r="J100" s="3">
        <v>-104.80685714285715</v>
      </c>
      <c r="K100" s="3">
        <v>-43.669523809523803</v>
      </c>
      <c r="L100" s="3">
        <v>-3.4935619047619051</v>
      </c>
    </row>
    <row r="101" spans="1:1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9538-9961-44BF-9B02-018D7CCA7BE4}">
  <dimension ref="A1:L100"/>
  <sheetViews>
    <sheetView workbookViewId="0">
      <selection activeCell="K1" sqref="K1"/>
    </sheetView>
  </sheetViews>
  <sheetFormatPr baseColWidth="10" defaultRowHeight="15" x14ac:dyDescent="0.25"/>
  <cols>
    <col min="1" max="1" width="61.7109375" style="3" bestFit="1" customWidth="1"/>
    <col min="2" max="2" width="15.28515625" style="3" bestFit="1" customWidth="1"/>
    <col min="3" max="3" width="9.5703125" style="3" bestFit="1" customWidth="1"/>
    <col min="4" max="5" width="11.5703125" style="3" bestFit="1" customWidth="1"/>
    <col min="6" max="6" width="9.140625" style="3" bestFit="1" customWidth="1"/>
    <col min="7" max="7" width="11.42578125" style="3" bestFit="1" customWidth="1"/>
    <col min="8" max="9" width="12.85546875" style="3" bestFit="1" customWidth="1"/>
    <col min="10" max="10" width="13.140625" style="3" bestFit="1" customWidth="1"/>
    <col min="11" max="11" width="14" style="3" bestFit="1" customWidth="1"/>
    <col min="12" max="12" width="31.28515625" style="3" bestFit="1" customWidth="1"/>
  </cols>
  <sheetData>
    <row r="1" spans="1:12" x14ac:dyDescent="0.25">
      <c r="A1" s="3" t="s">
        <v>32</v>
      </c>
      <c r="B1" s="3" t="s">
        <v>0</v>
      </c>
      <c r="C1" s="3" t="s">
        <v>25</v>
      </c>
      <c r="D1" s="3" t="s">
        <v>1</v>
      </c>
      <c r="E1" s="3" t="s">
        <v>13</v>
      </c>
      <c r="F1" s="3" t="s">
        <v>24</v>
      </c>
      <c r="G1" s="3" t="s">
        <v>2</v>
      </c>
      <c r="H1" s="3" t="s">
        <v>3</v>
      </c>
      <c r="I1" s="3" t="s">
        <v>28</v>
      </c>
      <c r="J1" s="3" t="s">
        <v>29</v>
      </c>
      <c r="K1" s="3" t="s">
        <v>38</v>
      </c>
      <c r="L1" s="3" t="s">
        <v>37</v>
      </c>
    </row>
    <row r="2" spans="1:12" x14ac:dyDescent="0.25">
      <c r="A2" s="3" t="s">
        <v>14</v>
      </c>
      <c r="B2" s="3" t="s">
        <v>4</v>
      </c>
      <c r="C2" s="3">
        <v>57986</v>
      </c>
      <c r="D2" s="3">
        <v>1656.7428571428572</v>
      </c>
      <c r="E2" s="3">
        <v>1656.7428571428572</v>
      </c>
      <c r="F2" s="3">
        <v>238</v>
      </c>
      <c r="G2" s="3">
        <v>135</v>
      </c>
      <c r="H2" s="3">
        <v>-1283.7428571428572</v>
      </c>
      <c r="I2" s="3">
        <v>-1026.9942857142858</v>
      </c>
      <c r="J2" s="3">
        <v>-102.69942857142858</v>
      </c>
      <c r="K2" s="3">
        <v>-34.233142857142859</v>
      </c>
      <c r="L2" s="3">
        <v>-3.423314285714286</v>
      </c>
    </row>
    <row r="3" spans="1:12" x14ac:dyDescent="0.25">
      <c r="A3" s="3" t="s">
        <v>14</v>
      </c>
      <c r="B3" s="3" t="s">
        <v>5</v>
      </c>
      <c r="C3" s="3">
        <v>48108</v>
      </c>
      <c r="D3" s="3">
        <v>1374.5142857142857</v>
      </c>
      <c r="E3" s="3">
        <v>1374.5142857142857</v>
      </c>
      <c r="F3" s="3">
        <v>517</v>
      </c>
      <c r="G3" s="3">
        <v>29</v>
      </c>
      <c r="H3" s="3">
        <v>-828.51428571428573</v>
      </c>
      <c r="I3" s="3">
        <v>-662.81142857142868</v>
      </c>
      <c r="J3" s="3">
        <v>-66.281142857142868</v>
      </c>
      <c r="K3" s="3">
        <v>-22.093714285714288</v>
      </c>
      <c r="L3" s="3">
        <v>-2.209371428571429</v>
      </c>
    </row>
    <row r="4" spans="1:12" x14ac:dyDescent="0.25">
      <c r="A4" s="3" t="s">
        <v>14</v>
      </c>
      <c r="B4" s="3" t="s">
        <v>6</v>
      </c>
      <c r="C4" s="3">
        <v>184613</v>
      </c>
      <c r="D4" s="3">
        <v>5274.6571428571433</v>
      </c>
      <c r="E4" s="3">
        <v>5274.6571428571433</v>
      </c>
      <c r="F4" s="3">
        <v>1807</v>
      </c>
      <c r="G4" s="3">
        <v>107</v>
      </c>
      <c r="H4" s="3">
        <v>-3360.6571428571433</v>
      </c>
      <c r="I4" s="3">
        <v>-2688.5257142857149</v>
      </c>
      <c r="J4" s="3">
        <v>-268.85257142857148</v>
      </c>
      <c r="K4" s="3">
        <v>-89.617523809523831</v>
      </c>
      <c r="L4" s="3">
        <v>-8.9617523809523831</v>
      </c>
    </row>
    <row r="5" spans="1:12" x14ac:dyDescent="0.25">
      <c r="A5" s="3" t="s">
        <v>14</v>
      </c>
      <c r="B5" s="3" t="s">
        <v>7</v>
      </c>
      <c r="C5" s="3">
        <v>234107</v>
      </c>
      <c r="D5" s="3">
        <v>6688.7714285714283</v>
      </c>
      <c r="E5" s="3">
        <v>6688.7714285714283</v>
      </c>
      <c r="F5" s="3">
        <v>1937</v>
      </c>
      <c r="G5" s="3">
        <v>201</v>
      </c>
      <c r="H5" s="3">
        <v>-4550.7714285714283</v>
      </c>
      <c r="I5" s="3">
        <v>-3640.6171428571429</v>
      </c>
      <c r="J5" s="3">
        <v>-364.06171428571429</v>
      </c>
      <c r="K5" s="3">
        <v>-121.35390476190476</v>
      </c>
      <c r="L5" s="3">
        <v>-12.135390476190477</v>
      </c>
    </row>
    <row r="6" spans="1:12" x14ac:dyDescent="0.25">
      <c r="A6" s="3" t="s">
        <v>14</v>
      </c>
      <c r="B6" s="3" t="s">
        <v>8</v>
      </c>
      <c r="C6" s="3">
        <v>48684</v>
      </c>
      <c r="D6" s="3">
        <v>1390.9714285714285</v>
      </c>
      <c r="E6" s="3">
        <v>1390.9714285714283</v>
      </c>
      <c r="F6" s="3">
        <v>483</v>
      </c>
      <c r="G6" s="3">
        <v>35</v>
      </c>
      <c r="H6" s="3">
        <v>-872.97142857142831</v>
      </c>
      <c r="I6" s="3">
        <v>-698.37714285714264</v>
      </c>
      <c r="J6" s="3">
        <v>-69.83771428571427</v>
      </c>
      <c r="K6" s="3">
        <v>-23.279238095238089</v>
      </c>
      <c r="L6" s="3">
        <v>-2.3279238095238091</v>
      </c>
    </row>
    <row r="7" spans="1:12" x14ac:dyDescent="0.25">
      <c r="A7" s="3" t="s">
        <v>14</v>
      </c>
      <c r="B7" s="3" t="s">
        <v>9</v>
      </c>
      <c r="C7" s="3">
        <v>14471</v>
      </c>
      <c r="D7" s="3">
        <v>413.45714285714286</v>
      </c>
      <c r="E7" s="3">
        <v>413.45714285714286</v>
      </c>
      <c r="F7" s="3">
        <v>102</v>
      </c>
      <c r="G7" s="3">
        <v>67</v>
      </c>
      <c r="H7" s="3">
        <v>-244.45714285714286</v>
      </c>
      <c r="I7" s="3">
        <v>-195.56571428571431</v>
      </c>
      <c r="J7" s="3">
        <v>-19.556571428571431</v>
      </c>
      <c r="K7" s="3">
        <v>-6.5188571428571436</v>
      </c>
      <c r="L7" s="3">
        <v>-0.6518857142857144</v>
      </c>
    </row>
    <row r="8" spans="1:12" x14ac:dyDescent="0.25">
      <c r="A8" s="3" t="s">
        <v>14</v>
      </c>
      <c r="B8" s="3" t="s">
        <v>10</v>
      </c>
      <c r="C8" s="3">
        <v>80217</v>
      </c>
      <c r="D8" s="3">
        <v>2291.9142857142856</v>
      </c>
      <c r="E8" s="3">
        <v>2291.9142857142856</v>
      </c>
      <c r="F8" s="3">
        <v>806</v>
      </c>
      <c r="G8" s="3">
        <v>84</v>
      </c>
      <c r="H8" s="3">
        <v>-1401.9142857142856</v>
      </c>
      <c r="I8" s="3">
        <v>-1121.5314285714285</v>
      </c>
      <c r="J8" s="3">
        <v>-112.15314285714285</v>
      </c>
      <c r="K8" s="3">
        <v>-37.384380952380951</v>
      </c>
      <c r="L8" s="3">
        <v>-3.7384380952380951</v>
      </c>
    </row>
    <row r="9" spans="1:12" x14ac:dyDescent="0.25">
      <c r="A9" s="3" t="s">
        <v>14</v>
      </c>
      <c r="B9" s="3" t="s">
        <v>11</v>
      </c>
      <c r="C9" s="3">
        <v>293171</v>
      </c>
      <c r="D9" s="3">
        <v>8376.3142857142866</v>
      </c>
      <c r="E9" s="3">
        <v>8376.3142857142866</v>
      </c>
      <c r="F9" s="3">
        <v>1557</v>
      </c>
      <c r="G9" s="3">
        <v>48</v>
      </c>
      <c r="H9" s="3">
        <v>-6771.3142857142866</v>
      </c>
      <c r="I9" s="3">
        <v>-5417.0514285714298</v>
      </c>
      <c r="J9" s="3">
        <v>-541.70514285714296</v>
      </c>
      <c r="K9" s="3">
        <v>-180.56838095238101</v>
      </c>
      <c r="L9" s="3">
        <v>-18.056838095238099</v>
      </c>
    </row>
    <row r="10" spans="1:12" x14ac:dyDescent="0.25">
      <c r="A10" s="3" t="s">
        <v>14</v>
      </c>
      <c r="B10" s="3" t="s">
        <v>12</v>
      </c>
      <c r="C10" s="3">
        <v>48514</v>
      </c>
      <c r="D10" s="3">
        <v>1386.1142857142856</v>
      </c>
      <c r="E10" s="3">
        <v>1386.1142857142856</v>
      </c>
      <c r="F10" s="3">
        <v>421</v>
      </c>
      <c r="G10" s="3">
        <v>0</v>
      </c>
      <c r="H10" s="3">
        <v>-965.11428571428564</v>
      </c>
      <c r="I10" s="3">
        <v>-772.09142857142854</v>
      </c>
      <c r="J10" s="3">
        <v>-77.209142857142865</v>
      </c>
      <c r="K10" s="3">
        <v>-25.736380952380951</v>
      </c>
      <c r="L10" s="3">
        <v>-2.5736380952380955</v>
      </c>
    </row>
    <row r="11" spans="1:12" x14ac:dyDescent="0.25">
      <c r="A11" s="3" t="s">
        <v>15</v>
      </c>
      <c r="B11" s="3" t="s">
        <v>4</v>
      </c>
      <c r="C11" s="3">
        <v>57986</v>
      </c>
      <c r="D11" s="3">
        <v>1656.7428571428572</v>
      </c>
      <c r="E11" s="3">
        <v>1104.4952380952382</v>
      </c>
      <c r="F11" s="3">
        <v>390</v>
      </c>
      <c r="G11" s="3">
        <v>117</v>
      </c>
      <c r="H11" s="3">
        <v>-597.49523809523816</v>
      </c>
      <c r="I11" s="3">
        <v>-477.99619047619058</v>
      </c>
      <c r="J11" s="3">
        <v>-47.799619047619061</v>
      </c>
      <c r="K11" s="3">
        <v>-15.933206349206353</v>
      </c>
      <c r="L11" s="3">
        <v>-1.5933206349206352</v>
      </c>
    </row>
    <row r="12" spans="1:12" x14ac:dyDescent="0.25">
      <c r="A12" s="3" t="s">
        <v>15</v>
      </c>
      <c r="B12" s="3" t="s">
        <v>5</v>
      </c>
      <c r="C12" s="3">
        <v>48108</v>
      </c>
      <c r="D12" s="3">
        <v>1374.5142857142857</v>
      </c>
      <c r="E12" s="3">
        <v>916.34285714285716</v>
      </c>
      <c r="F12" s="3">
        <v>753</v>
      </c>
      <c r="G12" s="3">
        <v>3</v>
      </c>
      <c r="H12" s="3">
        <v>-160.34285714285716</v>
      </c>
      <c r="I12" s="3">
        <v>-128.27428571428572</v>
      </c>
      <c r="J12" s="3">
        <v>-12.827428571428573</v>
      </c>
      <c r="K12" s="3">
        <v>-4.2758095238095244</v>
      </c>
      <c r="L12" s="3">
        <v>-0.42758095238095245</v>
      </c>
    </row>
    <row r="13" spans="1:12" x14ac:dyDescent="0.25">
      <c r="A13" s="3" t="s">
        <v>15</v>
      </c>
      <c r="B13" s="3" t="s">
        <v>6</v>
      </c>
      <c r="C13" s="3">
        <v>184613</v>
      </c>
      <c r="D13" s="3">
        <v>5274.6571428571433</v>
      </c>
      <c r="E13" s="3">
        <v>3516.4380952380957</v>
      </c>
      <c r="F13" s="3">
        <v>2141</v>
      </c>
      <c r="G13" s="3">
        <v>195</v>
      </c>
      <c r="H13" s="3">
        <v>-1180.4380952380957</v>
      </c>
      <c r="I13" s="3">
        <v>-944.35047619047657</v>
      </c>
      <c r="J13" s="3">
        <v>-94.435047619047666</v>
      </c>
      <c r="K13" s="3">
        <v>-31.478349206349218</v>
      </c>
      <c r="L13" s="3">
        <v>-3.1478349206349221</v>
      </c>
    </row>
    <row r="14" spans="1:12" x14ac:dyDescent="0.25">
      <c r="A14" s="3" t="s">
        <v>15</v>
      </c>
      <c r="B14" s="3" t="s">
        <v>7</v>
      </c>
      <c r="C14" s="3">
        <v>234107</v>
      </c>
      <c r="D14" s="3">
        <v>6688.7714285714283</v>
      </c>
      <c r="E14" s="3">
        <v>4459.1809523809525</v>
      </c>
      <c r="F14" s="3">
        <v>3413</v>
      </c>
      <c r="G14" s="3">
        <v>183</v>
      </c>
      <c r="H14" s="3">
        <v>-863.18095238095248</v>
      </c>
      <c r="I14" s="3">
        <v>-690.54476190476203</v>
      </c>
      <c r="J14" s="3">
        <v>-69.054476190476208</v>
      </c>
      <c r="K14" s="3">
        <v>-23.018158730158735</v>
      </c>
      <c r="L14" s="3">
        <v>-2.3018158730158738</v>
      </c>
    </row>
    <row r="15" spans="1:12" x14ac:dyDescent="0.25">
      <c r="A15" s="3" t="s">
        <v>15</v>
      </c>
      <c r="B15" s="3" t="s">
        <v>8</v>
      </c>
      <c r="C15" s="3">
        <v>48684</v>
      </c>
      <c r="D15" s="3">
        <v>1390.9714285714285</v>
      </c>
      <c r="E15" s="3">
        <v>927.31428571428569</v>
      </c>
      <c r="F15" s="3">
        <v>720</v>
      </c>
      <c r="G15" s="3">
        <v>50</v>
      </c>
      <c r="H15" s="3">
        <v>-157.31428571428569</v>
      </c>
      <c r="I15" s="3">
        <v>-125.85142857142856</v>
      </c>
      <c r="J15" s="3">
        <v>-12.585142857142856</v>
      </c>
      <c r="K15" s="3">
        <v>-4.1950476190476182</v>
      </c>
      <c r="L15" s="3">
        <v>-0.41950476190476188</v>
      </c>
    </row>
    <row r="16" spans="1:12" x14ac:dyDescent="0.25">
      <c r="A16" s="3" t="s">
        <v>15</v>
      </c>
      <c r="B16" s="3" t="s">
        <v>9</v>
      </c>
      <c r="C16" s="3">
        <v>14471</v>
      </c>
      <c r="D16" s="3">
        <v>413.45714285714286</v>
      </c>
      <c r="E16" s="3">
        <v>275.63809523809522</v>
      </c>
      <c r="F16" s="3">
        <v>255</v>
      </c>
      <c r="G16" s="3">
        <v>73</v>
      </c>
      <c r="H16" s="3">
        <v>52.361904761904782</v>
      </c>
      <c r="I16" s="3">
        <v>41.88952380952383</v>
      </c>
      <c r="J16" s="3">
        <v>4.188952380952383</v>
      </c>
      <c r="K16" s="3" t="s">
        <v>41</v>
      </c>
      <c r="L16" s="3" t="s">
        <v>41</v>
      </c>
    </row>
    <row r="17" spans="1:12" x14ac:dyDescent="0.25">
      <c r="A17" s="3" t="s">
        <v>15</v>
      </c>
      <c r="B17" s="3" t="s">
        <v>10</v>
      </c>
      <c r="C17" s="3">
        <v>80217</v>
      </c>
      <c r="D17" s="3">
        <v>2291.9142857142856</v>
      </c>
      <c r="E17" s="3">
        <v>1527.9428571428571</v>
      </c>
      <c r="F17" s="3">
        <v>1229</v>
      </c>
      <c r="G17" s="3">
        <v>82</v>
      </c>
      <c r="H17" s="3">
        <v>-216.94285714285706</v>
      </c>
      <c r="I17" s="3">
        <v>-173.55428571428567</v>
      </c>
      <c r="J17" s="3">
        <v>-17.355428571428568</v>
      </c>
      <c r="K17" s="3">
        <v>-5.7851428571428558</v>
      </c>
      <c r="L17" s="3">
        <v>-0.57851428571428565</v>
      </c>
    </row>
    <row r="18" spans="1:12" x14ac:dyDescent="0.25">
      <c r="A18" s="3" t="s">
        <v>15</v>
      </c>
      <c r="B18" s="3" t="s">
        <v>11</v>
      </c>
      <c r="C18" s="3">
        <v>293171</v>
      </c>
      <c r="D18" s="3">
        <v>8376.3142857142866</v>
      </c>
      <c r="E18" s="3">
        <v>5584.2095238095244</v>
      </c>
      <c r="F18" s="3">
        <v>2152</v>
      </c>
      <c r="G18" s="3">
        <v>94</v>
      </c>
      <c r="H18" s="3">
        <v>-3338.2095238095244</v>
      </c>
      <c r="I18" s="3">
        <v>-2670.5676190476197</v>
      </c>
      <c r="J18" s="3">
        <v>-267.05676190476197</v>
      </c>
      <c r="K18" s="3">
        <v>-89.018920634920661</v>
      </c>
      <c r="L18" s="3">
        <v>-8.9018920634920651</v>
      </c>
    </row>
    <row r="19" spans="1:12" x14ac:dyDescent="0.25">
      <c r="A19" s="3" t="s">
        <v>15</v>
      </c>
      <c r="B19" s="3" t="s">
        <v>12</v>
      </c>
      <c r="C19" s="3">
        <v>48514</v>
      </c>
      <c r="D19" s="3">
        <v>1386.1142857142856</v>
      </c>
      <c r="E19" s="3">
        <v>924.07619047619039</v>
      </c>
      <c r="F19" s="3">
        <v>705</v>
      </c>
      <c r="G19" s="3">
        <v>47</v>
      </c>
      <c r="H19" s="3">
        <v>-172.07619047619039</v>
      </c>
      <c r="I19" s="3">
        <v>-137.66095238095232</v>
      </c>
      <c r="J19" s="3">
        <v>-13.766095238095232</v>
      </c>
      <c r="K19" s="3">
        <v>-4.5886984126984105</v>
      </c>
      <c r="L19" s="3">
        <v>-0.45886984126984109</v>
      </c>
    </row>
    <row r="20" spans="1:12" x14ac:dyDescent="0.25">
      <c r="A20" s="3" t="s">
        <v>16</v>
      </c>
      <c r="B20" s="3" t="s">
        <v>4</v>
      </c>
      <c r="C20" s="3">
        <v>57986</v>
      </c>
      <c r="D20" s="3">
        <v>1656.7428571428572</v>
      </c>
      <c r="E20" s="3">
        <v>1932.8666666666668</v>
      </c>
      <c r="F20" s="3">
        <v>354</v>
      </c>
      <c r="G20" s="3">
        <v>72</v>
      </c>
      <c r="H20" s="3">
        <v>-1506.8666666666668</v>
      </c>
      <c r="I20" s="3">
        <v>-1205.4933333333336</v>
      </c>
      <c r="J20" s="3">
        <v>-120.54933333333337</v>
      </c>
      <c r="K20" s="3">
        <v>-40.183111111111117</v>
      </c>
      <c r="L20" s="3">
        <v>-4.0183111111111121</v>
      </c>
    </row>
    <row r="21" spans="1:12" x14ac:dyDescent="0.25">
      <c r="A21" s="3" t="s">
        <v>16</v>
      </c>
      <c r="B21" s="3" t="s">
        <v>5</v>
      </c>
      <c r="C21" s="3">
        <v>48108</v>
      </c>
      <c r="D21" s="3">
        <v>1374.5142857142857</v>
      </c>
      <c r="E21" s="3">
        <v>1603.6000000000001</v>
      </c>
      <c r="F21" s="3">
        <v>497</v>
      </c>
      <c r="G21" s="3">
        <v>56</v>
      </c>
      <c r="H21" s="3">
        <v>-1050.6000000000001</v>
      </c>
      <c r="I21" s="3">
        <v>-840.48000000000013</v>
      </c>
      <c r="J21" s="3">
        <v>-84.048000000000016</v>
      </c>
      <c r="K21" s="3">
        <v>-28.016000000000005</v>
      </c>
      <c r="L21" s="3">
        <v>-2.8016000000000005</v>
      </c>
    </row>
    <row r="22" spans="1:12" x14ac:dyDescent="0.25">
      <c r="A22" s="3" t="s">
        <v>16</v>
      </c>
      <c r="B22" s="3" t="s">
        <v>6</v>
      </c>
      <c r="C22" s="3">
        <v>184613</v>
      </c>
      <c r="D22" s="3">
        <v>5274.6571428571433</v>
      </c>
      <c r="E22" s="3">
        <v>6153.7666666666673</v>
      </c>
      <c r="F22" s="3">
        <v>1822</v>
      </c>
      <c r="G22" s="3">
        <v>37</v>
      </c>
      <c r="H22" s="3">
        <v>-4294.7666666666673</v>
      </c>
      <c r="I22" s="3">
        <v>-3435.813333333334</v>
      </c>
      <c r="J22" s="3">
        <v>-343.58133333333342</v>
      </c>
      <c r="K22" s="3">
        <v>-114.52711111111113</v>
      </c>
      <c r="L22" s="3">
        <v>-11.452711111111114</v>
      </c>
    </row>
    <row r="23" spans="1:12" x14ac:dyDescent="0.25">
      <c r="A23" s="3" t="s">
        <v>16</v>
      </c>
      <c r="B23" s="3" t="s">
        <v>7</v>
      </c>
      <c r="C23" s="3">
        <v>234107</v>
      </c>
      <c r="D23" s="3">
        <v>6688.7714285714283</v>
      </c>
      <c r="E23" s="3">
        <v>7803.5666666666657</v>
      </c>
      <c r="F23" s="3">
        <v>2602</v>
      </c>
      <c r="G23" s="3">
        <v>88</v>
      </c>
      <c r="H23" s="3">
        <v>-5113.5666666666657</v>
      </c>
      <c r="I23" s="3">
        <v>-4090.8533333333326</v>
      </c>
      <c r="J23" s="3">
        <v>-409.08533333333327</v>
      </c>
      <c r="K23" s="3">
        <v>-136.36177777777775</v>
      </c>
      <c r="L23" s="3">
        <v>-13.636177777777776</v>
      </c>
    </row>
    <row r="24" spans="1:12" x14ac:dyDescent="0.25">
      <c r="A24" s="3" t="s">
        <v>16</v>
      </c>
      <c r="B24" s="3" t="s">
        <v>8</v>
      </c>
      <c r="C24" s="3">
        <v>48684</v>
      </c>
      <c r="D24" s="3">
        <v>1390.9714285714285</v>
      </c>
      <c r="E24" s="3">
        <v>1622.8</v>
      </c>
      <c r="F24" s="3">
        <v>667</v>
      </c>
      <c r="G24" s="3">
        <v>0</v>
      </c>
      <c r="H24" s="3">
        <v>-955.8</v>
      </c>
      <c r="I24" s="3">
        <v>-764.64</v>
      </c>
      <c r="J24" s="3">
        <v>-76.463999999999999</v>
      </c>
      <c r="K24" s="3">
        <v>-25.488</v>
      </c>
      <c r="L24" s="3">
        <v>-2.5488</v>
      </c>
    </row>
    <row r="25" spans="1:12" x14ac:dyDescent="0.25">
      <c r="A25" s="3" t="s">
        <v>16</v>
      </c>
      <c r="B25" s="3" t="s">
        <v>9</v>
      </c>
      <c r="C25" s="3">
        <v>14471</v>
      </c>
      <c r="D25" s="3">
        <v>413.45714285714286</v>
      </c>
      <c r="E25" s="3">
        <v>482.36666666666662</v>
      </c>
      <c r="F25" s="3">
        <v>105</v>
      </c>
      <c r="G25" s="3">
        <v>76</v>
      </c>
      <c r="H25" s="3">
        <v>-301.36666666666662</v>
      </c>
      <c r="I25" s="3">
        <v>-241.09333333333331</v>
      </c>
      <c r="J25" s="3">
        <v>-24.109333333333332</v>
      </c>
      <c r="K25" s="3">
        <v>-8.0364444444444434</v>
      </c>
      <c r="L25" s="3">
        <v>-0.80364444444444438</v>
      </c>
    </row>
    <row r="26" spans="1:12" x14ac:dyDescent="0.25">
      <c r="A26" s="3" t="s">
        <v>16</v>
      </c>
      <c r="B26" s="3" t="s">
        <v>10</v>
      </c>
      <c r="C26" s="3">
        <v>80217</v>
      </c>
      <c r="D26" s="3">
        <v>2291.9142857142856</v>
      </c>
      <c r="E26" s="3">
        <v>2673.9</v>
      </c>
      <c r="F26" s="3">
        <v>1052</v>
      </c>
      <c r="G26" s="3">
        <v>54</v>
      </c>
      <c r="H26" s="3">
        <v>-1567.9</v>
      </c>
      <c r="I26" s="3">
        <v>-1254.3200000000002</v>
      </c>
      <c r="J26" s="3">
        <v>-125.43200000000002</v>
      </c>
      <c r="K26" s="3">
        <v>-41.81066666666667</v>
      </c>
      <c r="L26" s="3">
        <v>-4.1810666666666672</v>
      </c>
    </row>
    <row r="27" spans="1:12" x14ac:dyDescent="0.25">
      <c r="A27" s="3" t="s">
        <v>16</v>
      </c>
      <c r="B27" s="3" t="s">
        <v>11</v>
      </c>
      <c r="C27" s="3">
        <v>293171</v>
      </c>
      <c r="D27" s="3">
        <v>8376.3142857142866</v>
      </c>
      <c r="E27" s="3">
        <v>9772.3666666666668</v>
      </c>
      <c r="F27" s="3">
        <v>1746</v>
      </c>
      <c r="G27" s="3">
        <v>103</v>
      </c>
      <c r="H27" s="3">
        <v>-7923.3666666666668</v>
      </c>
      <c r="I27" s="3">
        <v>-6338.6933333333336</v>
      </c>
      <c r="J27" s="3">
        <v>-633.86933333333343</v>
      </c>
      <c r="K27" s="3">
        <v>-211.2897777777778</v>
      </c>
      <c r="L27" s="3">
        <v>-21.128977777777781</v>
      </c>
    </row>
    <row r="28" spans="1:12" x14ac:dyDescent="0.25">
      <c r="A28" s="3" t="s">
        <v>16</v>
      </c>
      <c r="B28" s="3" t="s">
        <v>12</v>
      </c>
      <c r="C28" s="3">
        <v>48514</v>
      </c>
      <c r="D28" s="3">
        <v>1386.1142857142856</v>
      </c>
      <c r="E28" s="3">
        <v>1617.1333333333332</v>
      </c>
      <c r="F28" s="3">
        <v>547</v>
      </c>
      <c r="G28" s="3">
        <v>0</v>
      </c>
      <c r="H28" s="3">
        <v>-1070.1333333333332</v>
      </c>
      <c r="I28" s="3">
        <v>-856.10666666666657</v>
      </c>
      <c r="J28" s="3">
        <v>-85.61066666666666</v>
      </c>
      <c r="K28" s="3">
        <v>-28.536888888888885</v>
      </c>
      <c r="L28" s="3">
        <v>-2.8536888888888887</v>
      </c>
    </row>
    <row r="29" spans="1:12" x14ac:dyDescent="0.25">
      <c r="A29" s="3" t="s">
        <v>17</v>
      </c>
      <c r="B29" s="3" t="s">
        <v>4</v>
      </c>
      <c r="C29" s="3">
        <v>57986</v>
      </c>
      <c r="D29" s="3">
        <v>1656.7428571428572</v>
      </c>
      <c r="E29" s="3">
        <v>828.37142857142862</v>
      </c>
      <c r="F29" s="3">
        <v>149</v>
      </c>
      <c r="G29" s="3">
        <v>94</v>
      </c>
      <c r="H29" s="3">
        <v>-585.37142857142862</v>
      </c>
      <c r="I29" s="3">
        <v>-468.29714285714294</v>
      </c>
      <c r="J29" s="3">
        <v>-46.829714285714296</v>
      </c>
      <c r="K29" s="3">
        <v>-15.609904761904765</v>
      </c>
      <c r="L29" s="3">
        <v>-1.5609904761904765</v>
      </c>
    </row>
    <row r="30" spans="1:12" x14ac:dyDescent="0.25">
      <c r="A30" s="3" t="s">
        <v>17</v>
      </c>
      <c r="B30" s="3" t="s">
        <v>5</v>
      </c>
      <c r="C30" s="3">
        <v>48108</v>
      </c>
      <c r="D30" s="3">
        <v>1374.5142857142857</v>
      </c>
      <c r="E30" s="3">
        <v>687.25714285714287</v>
      </c>
      <c r="F30" s="3">
        <v>171</v>
      </c>
      <c r="G30" s="3">
        <v>37</v>
      </c>
      <c r="H30" s="3">
        <v>-479.25714285714287</v>
      </c>
      <c r="I30" s="3">
        <v>-383.40571428571434</v>
      </c>
      <c r="J30" s="3">
        <v>-38.340571428571437</v>
      </c>
      <c r="K30" s="3">
        <v>-12.780190476190478</v>
      </c>
      <c r="L30" s="3">
        <v>-1.2780190476190478</v>
      </c>
    </row>
    <row r="31" spans="1:12" x14ac:dyDescent="0.25">
      <c r="A31" s="3" t="s">
        <v>17</v>
      </c>
      <c r="B31" s="3" t="s">
        <v>6</v>
      </c>
      <c r="C31" s="3">
        <v>184613</v>
      </c>
      <c r="D31" s="3">
        <v>5274.6571428571433</v>
      </c>
      <c r="E31" s="3">
        <v>2637.3285714285716</v>
      </c>
      <c r="F31" s="3">
        <v>725</v>
      </c>
      <c r="G31" s="3">
        <v>34</v>
      </c>
      <c r="H31" s="3">
        <v>-1878.3285714285716</v>
      </c>
      <c r="I31" s="3">
        <v>-1502.6628571428573</v>
      </c>
      <c r="J31" s="3">
        <v>-150.26628571428574</v>
      </c>
      <c r="K31" s="3">
        <v>-50.08876190476191</v>
      </c>
      <c r="L31" s="3">
        <v>-5.0088761904761911</v>
      </c>
    </row>
    <row r="32" spans="1:12" x14ac:dyDescent="0.25">
      <c r="A32" s="3" t="s">
        <v>17</v>
      </c>
      <c r="B32" s="3" t="s">
        <v>7</v>
      </c>
      <c r="C32" s="3">
        <v>234107</v>
      </c>
      <c r="D32" s="3">
        <v>6688.7714285714283</v>
      </c>
      <c r="E32" s="3">
        <v>3344.3857142857141</v>
      </c>
      <c r="F32" s="3">
        <v>896</v>
      </c>
      <c r="G32" s="3">
        <v>112</v>
      </c>
      <c r="H32" s="3">
        <v>-2336.3857142857141</v>
      </c>
      <c r="I32" s="3">
        <v>-1869.1085714285714</v>
      </c>
      <c r="J32" s="3">
        <v>-186.91085714285714</v>
      </c>
      <c r="K32" s="3">
        <v>-62.303619047619044</v>
      </c>
      <c r="L32" s="3">
        <v>-6.2303619047619048</v>
      </c>
    </row>
    <row r="33" spans="1:12" x14ac:dyDescent="0.25">
      <c r="A33" s="3" t="s">
        <v>17</v>
      </c>
      <c r="B33" s="3" t="s">
        <v>8</v>
      </c>
      <c r="C33" s="3">
        <v>48684</v>
      </c>
      <c r="D33" s="3">
        <v>1390.9714285714285</v>
      </c>
      <c r="E33" s="3">
        <v>695.48571428571415</v>
      </c>
      <c r="F33" s="3">
        <v>149</v>
      </c>
      <c r="G33" s="3">
        <v>23</v>
      </c>
      <c r="H33" s="3">
        <v>-523.48571428571415</v>
      </c>
      <c r="I33" s="3">
        <v>-418.78857142857134</v>
      </c>
      <c r="J33" s="3">
        <v>-41.878857142857136</v>
      </c>
      <c r="K33" s="3">
        <v>-13.959619047619045</v>
      </c>
      <c r="L33" s="3">
        <v>-1.3959619047619045</v>
      </c>
    </row>
    <row r="34" spans="1:12" x14ac:dyDescent="0.25">
      <c r="A34" s="3" t="s">
        <v>17</v>
      </c>
      <c r="B34" s="3" t="s">
        <v>9</v>
      </c>
      <c r="C34" s="3">
        <v>14471</v>
      </c>
      <c r="D34" s="3">
        <v>413.45714285714286</v>
      </c>
      <c r="E34" s="3">
        <v>206.72857142857143</v>
      </c>
      <c r="F34" s="3">
        <v>80</v>
      </c>
      <c r="G34" s="3">
        <v>41</v>
      </c>
      <c r="H34" s="3">
        <v>-85.728571428571428</v>
      </c>
      <c r="I34" s="3">
        <v>-68.582857142857151</v>
      </c>
      <c r="J34" s="3">
        <v>-6.8582857142857154</v>
      </c>
      <c r="K34" s="3">
        <v>-2.2860952380952382</v>
      </c>
      <c r="L34" s="3">
        <v>-0.22860952380952385</v>
      </c>
    </row>
    <row r="35" spans="1:12" x14ac:dyDescent="0.25">
      <c r="A35" s="3" t="s">
        <v>17</v>
      </c>
      <c r="B35" s="3" t="s">
        <v>10</v>
      </c>
      <c r="C35" s="3">
        <v>80217</v>
      </c>
      <c r="D35" s="3">
        <v>2291.9142857142856</v>
      </c>
      <c r="E35" s="3">
        <v>1145.9571428571428</v>
      </c>
      <c r="F35" s="3">
        <v>299</v>
      </c>
      <c r="G35" s="3">
        <v>0</v>
      </c>
      <c r="H35" s="3">
        <v>-846.9571428571428</v>
      </c>
      <c r="I35" s="3">
        <v>-677.56571428571431</v>
      </c>
      <c r="J35" s="3">
        <v>-67.756571428571434</v>
      </c>
      <c r="K35" s="3">
        <v>-22.58552380952381</v>
      </c>
      <c r="L35" s="3">
        <v>-2.2585523809523811</v>
      </c>
    </row>
    <row r="36" spans="1:12" x14ac:dyDescent="0.25">
      <c r="A36" s="3" t="s">
        <v>17</v>
      </c>
      <c r="B36" s="3" t="s">
        <v>11</v>
      </c>
      <c r="C36" s="3">
        <v>293171</v>
      </c>
      <c r="D36" s="3">
        <v>8376.3142857142866</v>
      </c>
      <c r="E36" s="3">
        <v>4188.1571428571433</v>
      </c>
      <c r="F36" s="3">
        <v>644</v>
      </c>
      <c r="G36" s="3">
        <v>245</v>
      </c>
      <c r="H36" s="3">
        <v>-3299.1571428571433</v>
      </c>
      <c r="I36" s="3">
        <v>-2639.3257142857146</v>
      </c>
      <c r="J36" s="3">
        <v>-263.93257142857146</v>
      </c>
      <c r="K36" s="3">
        <v>-87.977523809523817</v>
      </c>
      <c r="L36" s="3">
        <v>-8.7977523809523817</v>
      </c>
    </row>
    <row r="37" spans="1:12" x14ac:dyDescent="0.25">
      <c r="A37" s="3" t="s">
        <v>17</v>
      </c>
      <c r="B37" s="3" t="s">
        <v>12</v>
      </c>
      <c r="C37" s="3">
        <v>48514</v>
      </c>
      <c r="D37" s="3">
        <v>1386.1142857142856</v>
      </c>
      <c r="E37" s="3">
        <v>693.05714285714282</v>
      </c>
      <c r="F37" s="3">
        <v>257</v>
      </c>
      <c r="G37" s="3">
        <v>32</v>
      </c>
      <c r="H37" s="3">
        <v>-404.05714285714282</v>
      </c>
      <c r="I37" s="3">
        <v>-323.24571428571426</v>
      </c>
      <c r="J37" s="3">
        <v>-32.324571428571424</v>
      </c>
      <c r="K37" s="3">
        <v>-10.774857142857142</v>
      </c>
      <c r="L37" s="3">
        <v>-1.0774857142857142</v>
      </c>
    </row>
    <row r="38" spans="1:12" x14ac:dyDescent="0.25">
      <c r="A38" s="3" t="s">
        <v>18</v>
      </c>
      <c r="B38" s="3" t="s">
        <v>4</v>
      </c>
      <c r="C38" s="3">
        <v>57986</v>
      </c>
      <c r="D38" s="3">
        <v>1656.7428571428572</v>
      </c>
      <c r="E38" s="3">
        <v>2208.9904761904763</v>
      </c>
      <c r="F38" s="3">
        <v>361</v>
      </c>
      <c r="G38" s="3">
        <v>66</v>
      </c>
      <c r="H38" s="3">
        <v>-1781.9904761904763</v>
      </c>
      <c r="I38" s="3">
        <v>-1425.5923809523811</v>
      </c>
      <c r="J38" s="3">
        <v>-142.5592380952381</v>
      </c>
      <c r="K38" s="3">
        <v>-47.519746031746038</v>
      </c>
      <c r="L38" s="3">
        <v>-4.7519746031746033</v>
      </c>
    </row>
    <row r="39" spans="1:12" x14ac:dyDescent="0.25">
      <c r="A39" s="3" t="s">
        <v>18</v>
      </c>
      <c r="B39" s="3" t="s">
        <v>5</v>
      </c>
      <c r="C39" s="3">
        <v>48108</v>
      </c>
      <c r="D39" s="3">
        <v>1374.5142857142857</v>
      </c>
      <c r="E39" s="3">
        <v>1832.6857142857143</v>
      </c>
      <c r="F39" s="3">
        <v>553</v>
      </c>
      <c r="G39" s="3">
        <v>20</v>
      </c>
      <c r="H39" s="3">
        <v>-1259.6857142857143</v>
      </c>
      <c r="I39" s="3">
        <v>-1007.7485714285715</v>
      </c>
      <c r="J39" s="3">
        <v>-100.77485714285716</v>
      </c>
      <c r="K39" s="3">
        <v>-33.591619047619048</v>
      </c>
      <c r="L39" s="3">
        <v>-3.3591619047619052</v>
      </c>
    </row>
    <row r="40" spans="1:12" x14ac:dyDescent="0.25">
      <c r="A40" s="3" t="s">
        <v>18</v>
      </c>
      <c r="B40" s="3" t="s">
        <v>6</v>
      </c>
      <c r="C40" s="3">
        <v>184613</v>
      </c>
      <c r="D40" s="3">
        <v>5274.6571428571433</v>
      </c>
      <c r="E40" s="3">
        <v>7032.8761904761914</v>
      </c>
      <c r="F40" s="3">
        <v>1845</v>
      </c>
      <c r="G40" s="3">
        <v>80</v>
      </c>
      <c r="H40" s="3">
        <v>-5107.8761904761914</v>
      </c>
      <c r="I40" s="3">
        <v>-4086.3009523809533</v>
      </c>
      <c r="J40" s="3">
        <v>-408.63009523809535</v>
      </c>
      <c r="K40" s="3">
        <v>-136.21003174603177</v>
      </c>
      <c r="L40" s="3">
        <v>-13.621003174603178</v>
      </c>
    </row>
    <row r="41" spans="1:12" x14ac:dyDescent="0.25">
      <c r="A41" s="3" t="s">
        <v>18</v>
      </c>
      <c r="B41" s="3" t="s">
        <v>7</v>
      </c>
      <c r="C41" s="3">
        <v>234107</v>
      </c>
      <c r="D41" s="3">
        <v>6688.7714285714283</v>
      </c>
      <c r="E41" s="3">
        <v>8918.361904761905</v>
      </c>
      <c r="F41" s="3">
        <v>2227</v>
      </c>
      <c r="G41" s="3">
        <v>62</v>
      </c>
      <c r="H41" s="3">
        <v>-6629.361904761905</v>
      </c>
      <c r="I41" s="3">
        <v>-5303.4895238095241</v>
      </c>
      <c r="J41" s="3">
        <v>-530.34895238095248</v>
      </c>
      <c r="K41" s="3">
        <v>-176.78298412698413</v>
      </c>
      <c r="L41" s="3">
        <v>-17.678298412698418</v>
      </c>
    </row>
    <row r="42" spans="1:12" x14ac:dyDescent="0.25">
      <c r="A42" s="3" t="s">
        <v>18</v>
      </c>
      <c r="B42" s="3" t="s">
        <v>8</v>
      </c>
      <c r="C42" s="3">
        <v>48684</v>
      </c>
      <c r="D42" s="3">
        <v>1390.9714285714285</v>
      </c>
      <c r="E42" s="3">
        <v>1854.6285714285714</v>
      </c>
      <c r="F42" s="3">
        <v>465</v>
      </c>
      <c r="G42" s="3">
        <v>64</v>
      </c>
      <c r="H42" s="3">
        <v>-1325.6285714285714</v>
      </c>
      <c r="I42" s="3">
        <v>-1060.5028571428572</v>
      </c>
      <c r="J42" s="3">
        <v>-106.05028571428574</v>
      </c>
      <c r="K42" s="3">
        <v>-35.350095238095243</v>
      </c>
      <c r="L42" s="3">
        <v>-3.5350095238095247</v>
      </c>
    </row>
    <row r="43" spans="1:12" x14ac:dyDescent="0.25">
      <c r="A43" s="3" t="s">
        <v>18</v>
      </c>
      <c r="B43" s="3" t="s">
        <v>9</v>
      </c>
      <c r="C43" s="3">
        <v>14471</v>
      </c>
      <c r="D43" s="3">
        <v>413.45714285714286</v>
      </c>
      <c r="E43" s="3">
        <v>551.27619047619044</v>
      </c>
      <c r="F43" s="3">
        <v>137</v>
      </c>
      <c r="G43" s="3">
        <v>43</v>
      </c>
      <c r="H43" s="3">
        <v>-371.27619047619044</v>
      </c>
      <c r="I43" s="3">
        <v>-297.02095238095234</v>
      </c>
      <c r="J43" s="3">
        <v>-29.702095238095236</v>
      </c>
      <c r="K43" s="3">
        <v>-9.9006984126984108</v>
      </c>
      <c r="L43" s="3">
        <v>-0.99006984126984121</v>
      </c>
    </row>
    <row r="44" spans="1:12" x14ac:dyDescent="0.25">
      <c r="A44" s="3" t="s">
        <v>18</v>
      </c>
      <c r="B44" s="3" t="s">
        <v>10</v>
      </c>
      <c r="C44" s="3">
        <v>80217</v>
      </c>
      <c r="D44" s="3">
        <v>2291.9142857142856</v>
      </c>
      <c r="E44" s="3">
        <v>3055.8857142857141</v>
      </c>
      <c r="F44" s="3">
        <v>931</v>
      </c>
      <c r="G44" s="3">
        <v>32</v>
      </c>
      <c r="H44" s="3">
        <v>-2092.8857142857141</v>
      </c>
      <c r="I44" s="3">
        <v>-1674.3085714285714</v>
      </c>
      <c r="J44" s="3">
        <v>-167.43085714285715</v>
      </c>
      <c r="K44" s="3">
        <v>-55.810285714285712</v>
      </c>
      <c r="L44" s="3">
        <v>-5.5810285714285719</v>
      </c>
    </row>
    <row r="45" spans="1:12" x14ac:dyDescent="0.25">
      <c r="A45" s="3" t="s">
        <v>18</v>
      </c>
      <c r="B45" s="3" t="s">
        <v>11</v>
      </c>
      <c r="C45" s="3">
        <v>293171</v>
      </c>
      <c r="D45" s="3">
        <v>8376.3142857142866</v>
      </c>
      <c r="E45" s="3">
        <v>11168.419047619049</v>
      </c>
      <c r="F45" s="3">
        <v>1890</v>
      </c>
      <c r="G45" s="3">
        <v>125</v>
      </c>
      <c r="H45" s="3">
        <v>-9153.4190476190488</v>
      </c>
      <c r="I45" s="3">
        <v>-7322.7352380952398</v>
      </c>
      <c r="J45" s="3">
        <v>-732.27352380952402</v>
      </c>
      <c r="K45" s="3">
        <v>-244.09117460317466</v>
      </c>
      <c r="L45" s="3">
        <v>-24.409117460317468</v>
      </c>
    </row>
    <row r="46" spans="1:12" x14ac:dyDescent="0.25">
      <c r="A46" s="3" t="s">
        <v>18</v>
      </c>
      <c r="B46" s="3" t="s">
        <v>12</v>
      </c>
      <c r="C46" s="3">
        <v>48514</v>
      </c>
      <c r="D46" s="3">
        <v>1386.1142857142856</v>
      </c>
      <c r="E46" s="3">
        <v>1848.1523809523808</v>
      </c>
      <c r="F46" s="3">
        <v>491</v>
      </c>
      <c r="G46" s="3">
        <v>0</v>
      </c>
      <c r="H46" s="3">
        <v>-1357.1523809523808</v>
      </c>
      <c r="I46" s="3">
        <v>-1085.7219047619046</v>
      </c>
      <c r="J46" s="3">
        <v>-108.57219047619047</v>
      </c>
      <c r="K46" s="3">
        <v>-36.190730158730155</v>
      </c>
      <c r="L46" s="3">
        <v>-3.6190730158730156</v>
      </c>
    </row>
    <row r="47" spans="1:12" x14ac:dyDescent="0.25">
      <c r="A47" s="3" t="s">
        <v>19</v>
      </c>
      <c r="B47" s="3" t="s">
        <v>4</v>
      </c>
      <c r="C47" s="3">
        <v>57986</v>
      </c>
      <c r="D47" s="3">
        <v>1656.7428571428572</v>
      </c>
      <c r="E47" s="3">
        <v>828.37142857142862</v>
      </c>
      <c r="F47" s="3">
        <v>174</v>
      </c>
      <c r="G47" s="3">
        <v>67</v>
      </c>
      <c r="H47" s="3">
        <v>-587.37142857142862</v>
      </c>
      <c r="I47" s="3">
        <v>-469.89714285714291</v>
      </c>
      <c r="J47" s="3">
        <v>-46.989714285714292</v>
      </c>
      <c r="K47" s="3">
        <v>-15.663238095238096</v>
      </c>
      <c r="L47" s="3">
        <v>-1.5663238095238097</v>
      </c>
    </row>
    <row r="48" spans="1:12" x14ac:dyDescent="0.25">
      <c r="A48" s="3" t="s">
        <v>19</v>
      </c>
      <c r="B48" s="3" t="s">
        <v>5</v>
      </c>
      <c r="C48" s="3">
        <v>48108</v>
      </c>
      <c r="D48" s="3">
        <v>1374.5142857142857</v>
      </c>
      <c r="E48" s="3">
        <v>687.25714285714287</v>
      </c>
      <c r="F48" s="3">
        <v>346</v>
      </c>
      <c r="G48" s="3">
        <v>32</v>
      </c>
      <c r="H48" s="3">
        <v>-309.25714285714287</v>
      </c>
      <c r="I48" s="3">
        <v>-247.40571428571431</v>
      </c>
      <c r="J48" s="3">
        <v>-24.740571428571432</v>
      </c>
      <c r="K48" s="3">
        <v>-8.2468571428571433</v>
      </c>
      <c r="L48" s="3">
        <v>-0.82468571428571436</v>
      </c>
    </row>
    <row r="49" spans="1:12" x14ac:dyDescent="0.25">
      <c r="A49" s="3" t="s">
        <v>19</v>
      </c>
      <c r="B49" s="3" t="s">
        <v>6</v>
      </c>
      <c r="C49" s="3">
        <v>184613</v>
      </c>
      <c r="D49" s="3">
        <v>5274.6571428571433</v>
      </c>
      <c r="E49" s="3">
        <v>2637.3285714285716</v>
      </c>
      <c r="F49" s="3">
        <v>1084</v>
      </c>
      <c r="G49" s="3">
        <v>113</v>
      </c>
      <c r="H49" s="3">
        <v>-1440.3285714285716</v>
      </c>
      <c r="I49" s="3">
        <v>-1152.2628571428575</v>
      </c>
      <c r="J49" s="3">
        <v>-115.22628571428575</v>
      </c>
      <c r="K49" s="3">
        <v>-38.408761904761917</v>
      </c>
      <c r="L49" s="3">
        <v>-3.8408761904761919</v>
      </c>
    </row>
    <row r="50" spans="1:12" x14ac:dyDescent="0.25">
      <c r="A50" s="3" t="s">
        <v>19</v>
      </c>
      <c r="B50" s="3" t="s">
        <v>7</v>
      </c>
      <c r="C50" s="3">
        <v>234107</v>
      </c>
      <c r="D50" s="3">
        <v>6688.7714285714283</v>
      </c>
      <c r="E50" s="3">
        <v>3344.3857142857141</v>
      </c>
      <c r="F50" s="3">
        <v>1562</v>
      </c>
      <c r="G50" s="3">
        <v>340</v>
      </c>
      <c r="H50" s="3">
        <v>-1442.3857142857141</v>
      </c>
      <c r="I50" s="3">
        <v>-1153.9085714285713</v>
      </c>
      <c r="J50" s="3">
        <v>-115.39085714285714</v>
      </c>
      <c r="K50" s="3">
        <v>-38.463619047619048</v>
      </c>
      <c r="L50" s="3">
        <v>-3.8463619047619049</v>
      </c>
    </row>
    <row r="51" spans="1:12" x14ac:dyDescent="0.25">
      <c r="A51" s="3" t="s">
        <v>19</v>
      </c>
      <c r="B51" s="3" t="s">
        <v>8</v>
      </c>
      <c r="C51" s="3">
        <v>48684</v>
      </c>
      <c r="D51" s="3">
        <v>1390.9714285714285</v>
      </c>
      <c r="E51" s="3">
        <v>695.48571428571415</v>
      </c>
      <c r="F51" s="3">
        <v>301</v>
      </c>
      <c r="G51" s="3">
        <v>187</v>
      </c>
      <c r="H51" s="3">
        <v>-207.48571428571415</v>
      </c>
      <c r="I51" s="3">
        <v>-165.98857142857133</v>
      </c>
      <c r="J51" s="3">
        <v>-16.598857142857135</v>
      </c>
      <c r="K51" s="3">
        <v>-5.532952380952378</v>
      </c>
      <c r="L51" s="3">
        <v>-0.55329523809523784</v>
      </c>
    </row>
    <row r="52" spans="1:12" x14ac:dyDescent="0.25">
      <c r="A52" s="3" t="s">
        <v>19</v>
      </c>
      <c r="B52" s="3" t="s">
        <v>9</v>
      </c>
      <c r="C52" s="3">
        <v>14471</v>
      </c>
      <c r="D52" s="3">
        <v>413.45714285714286</v>
      </c>
      <c r="E52" s="3">
        <v>206.72857142857143</v>
      </c>
      <c r="F52" s="3">
        <v>122</v>
      </c>
      <c r="G52" s="3">
        <v>0</v>
      </c>
      <c r="H52" s="3">
        <v>-84.728571428571428</v>
      </c>
      <c r="I52" s="3">
        <v>-67.782857142857139</v>
      </c>
      <c r="J52" s="3">
        <v>-6.7782857142857145</v>
      </c>
      <c r="K52" s="3">
        <v>-2.2594285714285713</v>
      </c>
      <c r="L52" s="3">
        <v>-0.22594285714285714</v>
      </c>
    </row>
    <row r="53" spans="1:12" x14ac:dyDescent="0.25">
      <c r="A53" s="3" t="s">
        <v>19</v>
      </c>
      <c r="B53" s="3" t="s">
        <v>10</v>
      </c>
      <c r="C53" s="3">
        <v>80217</v>
      </c>
      <c r="D53" s="3">
        <v>2291.9142857142856</v>
      </c>
      <c r="E53" s="3">
        <v>1145.9571428571428</v>
      </c>
      <c r="F53" s="3">
        <v>517</v>
      </c>
      <c r="G53" s="3">
        <v>49</v>
      </c>
      <c r="H53" s="3">
        <v>-579.9571428571428</v>
      </c>
      <c r="I53" s="3">
        <v>-463.96571428571428</v>
      </c>
      <c r="J53" s="3">
        <v>-46.396571428571434</v>
      </c>
      <c r="K53" s="3">
        <v>-15.465523809523809</v>
      </c>
      <c r="L53" s="3">
        <v>-1.5465523809523811</v>
      </c>
    </row>
    <row r="54" spans="1:12" x14ac:dyDescent="0.25">
      <c r="A54" s="3" t="s">
        <v>19</v>
      </c>
      <c r="B54" s="3" t="s">
        <v>11</v>
      </c>
      <c r="C54" s="3">
        <v>293171</v>
      </c>
      <c r="D54" s="3">
        <v>8376.3142857142866</v>
      </c>
      <c r="E54" s="3">
        <v>4188.1571428571433</v>
      </c>
      <c r="F54" s="3">
        <v>932</v>
      </c>
      <c r="G54" s="3">
        <v>75</v>
      </c>
      <c r="H54" s="3">
        <v>-3181.1571428571433</v>
      </c>
      <c r="I54" s="3">
        <v>-2544.925714285715</v>
      </c>
      <c r="J54" s="3">
        <v>-254.49257142857152</v>
      </c>
      <c r="K54" s="3">
        <v>-84.83085714285717</v>
      </c>
      <c r="L54" s="3">
        <v>-8.4830857142857177</v>
      </c>
    </row>
    <row r="55" spans="1:12" x14ac:dyDescent="0.25">
      <c r="A55" s="3" t="s">
        <v>19</v>
      </c>
      <c r="B55" s="3" t="s">
        <v>12</v>
      </c>
      <c r="C55" s="3">
        <v>48514</v>
      </c>
      <c r="D55" s="3">
        <v>1386.1142857142856</v>
      </c>
      <c r="E55" s="3">
        <v>693.05714285714282</v>
      </c>
      <c r="F55" s="3">
        <v>318</v>
      </c>
      <c r="G55" s="3">
        <v>0</v>
      </c>
      <c r="H55" s="3">
        <v>-375.05714285714282</v>
      </c>
      <c r="I55" s="3">
        <v>-300.04571428571427</v>
      </c>
      <c r="J55" s="3">
        <v>-30.004571428571428</v>
      </c>
      <c r="K55" s="3">
        <v>-10.001523809523809</v>
      </c>
      <c r="L55" s="3">
        <v>-1.0001523809523809</v>
      </c>
    </row>
    <row r="56" spans="1:12" x14ac:dyDescent="0.25">
      <c r="A56" s="3" t="s">
        <v>20</v>
      </c>
      <c r="B56" s="3" t="s">
        <v>4</v>
      </c>
      <c r="C56" s="3">
        <v>57986</v>
      </c>
      <c r="D56" s="3">
        <v>1656.7428571428572</v>
      </c>
      <c r="E56" s="3">
        <v>828.37142857142862</v>
      </c>
      <c r="F56" s="3">
        <v>136</v>
      </c>
      <c r="G56" s="3">
        <v>64</v>
      </c>
      <c r="H56" s="3">
        <v>-628.37142857142862</v>
      </c>
      <c r="I56" s="3">
        <v>-502.69714285714292</v>
      </c>
      <c r="J56" s="3">
        <v>-50.269714285714294</v>
      </c>
      <c r="K56" s="3">
        <v>-16.75657142857143</v>
      </c>
      <c r="L56" s="3">
        <v>-1.6756571428571432</v>
      </c>
    </row>
    <row r="57" spans="1:12" x14ac:dyDescent="0.25">
      <c r="A57" s="3" t="s">
        <v>20</v>
      </c>
      <c r="B57" s="3" t="s">
        <v>5</v>
      </c>
      <c r="C57" s="3">
        <v>48108</v>
      </c>
      <c r="D57" s="3">
        <v>1374.5142857142857</v>
      </c>
      <c r="E57" s="3">
        <v>687.25714285714287</v>
      </c>
      <c r="F57" s="3">
        <v>302</v>
      </c>
      <c r="G57" s="3">
        <v>61</v>
      </c>
      <c r="H57" s="3">
        <v>-324.25714285714287</v>
      </c>
      <c r="I57" s="3">
        <v>-259.40571428571428</v>
      </c>
      <c r="J57" s="3">
        <v>-25.940571428571431</v>
      </c>
      <c r="K57" s="3">
        <v>-8.6468571428571419</v>
      </c>
      <c r="L57" s="3">
        <v>-0.86468571428571439</v>
      </c>
    </row>
    <row r="58" spans="1:12" x14ac:dyDescent="0.25">
      <c r="A58" s="3" t="s">
        <v>20</v>
      </c>
      <c r="B58" s="3" t="s">
        <v>6</v>
      </c>
      <c r="C58" s="3">
        <v>184613</v>
      </c>
      <c r="D58" s="3">
        <v>5274.6571428571433</v>
      </c>
      <c r="E58" s="3">
        <v>2637.3285714285716</v>
      </c>
      <c r="F58" s="3">
        <v>962</v>
      </c>
      <c r="G58" s="3">
        <v>221</v>
      </c>
      <c r="H58" s="3">
        <v>-1454.3285714285716</v>
      </c>
      <c r="I58" s="3">
        <v>-1163.4628571428573</v>
      </c>
      <c r="J58" s="3">
        <v>-116.34628571428573</v>
      </c>
      <c r="K58" s="3">
        <v>-38.782095238095245</v>
      </c>
      <c r="L58" s="3">
        <v>-3.8782095238095242</v>
      </c>
    </row>
    <row r="59" spans="1:12" x14ac:dyDescent="0.25">
      <c r="A59" s="3" t="s">
        <v>20</v>
      </c>
      <c r="B59" s="3" t="s">
        <v>7</v>
      </c>
      <c r="C59" s="3">
        <v>234107</v>
      </c>
      <c r="D59" s="3">
        <v>6688.7714285714283</v>
      </c>
      <c r="E59" s="3">
        <v>3344.3857142857141</v>
      </c>
      <c r="F59" s="3">
        <v>1480</v>
      </c>
      <c r="G59" s="3">
        <v>158</v>
      </c>
      <c r="H59" s="3">
        <v>-1706.3857142857141</v>
      </c>
      <c r="I59" s="3">
        <v>-1365.1085714285714</v>
      </c>
      <c r="J59" s="3">
        <v>-136.51085714285713</v>
      </c>
      <c r="K59" s="3">
        <v>-45.503619047619047</v>
      </c>
      <c r="L59" s="3">
        <v>-4.5503619047619042</v>
      </c>
    </row>
    <row r="60" spans="1:12" x14ac:dyDescent="0.25">
      <c r="A60" s="3" t="s">
        <v>20</v>
      </c>
      <c r="B60" s="3" t="s">
        <v>8</v>
      </c>
      <c r="C60" s="3">
        <v>48684</v>
      </c>
      <c r="D60" s="3">
        <v>1390.9714285714285</v>
      </c>
      <c r="E60" s="3">
        <v>695.48571428571415</v>
      </c>
      <c r="F60" s="3">
        <v>297</v>
      </c>
      <c r="G60" s="3">
        <v>180</v>
      </c>
      <c r="H60" s="3">
        <v>-218.48571428571415</v>
      </c>
      <c r="I60" s="3">
        <v>-174.78857142857134</v>
      </c>
      <c r="J60" s="3">
        <v>-17.478857142857134</v>
      </c>
      <c r="K60" s="3">
        <v>-5.8262857142857118</v>
      </c>
      <c r="L60" s="3">
        <v>-0.58262857142857116</v>
      </c>
    </row>
    <row r="61" spans="1:12" x14ac:dyDescent="0.25">
      <c r="A61" s="3" t="s">
        <v>20</v>
      </c>
      <c r="B61" s="3" t="s">
        <v>9</v>
      </c>
      <c r="C61" s="3">
        <v>14471</v>
      </c>
      <c r="D61" s="3">
        <v>413.45714285714286</v>
      </c>
      <c r="E61" s="3">
        <v>206.72857142857143</v>
      </c>
      <c r="F61" s="3">
        <v>51</v>
      </c>
      <c r="G61" s="3">
        <v>33</v>
      </c>
      <c r="H61" s="3">
        <v>-122.72857142857143</v>
      </c>
      <c r="I61" s="3">
        <v>-98.182857142857145</v>
      </c>
      <c r="J61" s="3">
        <v>-9.8182857142857145</v>
      </c>
      <c r="K61" s="3">
        <v>-3.272761904761905</v>
      </c>
      <c r="L61" s="3">
        <v>-0.3272761904761905</v>
      </c>
    </row>
    <row r="62" spans="1:12" x14ac:dyDescent="0.25">
      <c r="A62" s="3" t="s">
        <v>20</v>
      </c>
      <c r="B62" s="3" t="s">
        <v>10</v>
      </c>
      <c r="C62" s="3">
        <v>80217</v>
      </c>
      <c r="D62" s="3">
        <v>2291.9142857142856</v>
      </c>
      <c r="E62" s="3">
        <v>1145.9571428571428</v>
      </c>
      <c r="F62" s="3">
        <v>517</v>
      </c>
      <c r="G62" s="3">
        <v>216</v>
      </c>
      <c r="H62" s="3">
        <v>-412.9571428571428</v>
      </c>
      <c r="I62" s="3">
        <v>-330.36571428571426</v>
      </c>
      <c r="J62" s="3">
        <v>-33.036571428571428</v>
      </c>
      <c r="K62" s="3">
        <v>-11.012190476190476</v>
      </c>
      <c r="L62" s="3">
        <v>-1.1012190476190475</v>
      </c>
    </row>
    <row r="63" spans="1:12" x14ac:dyDescent="0.25">
      <c r="A63" s="3" t="s">
        <v>20</v>
      </c>
      <c r="B63" s="3" t="s">
        <v>11</v>
      </c>
      <c r="C63" s="3">
        <v>293171</v>
      </c>
      <c r="D63" s="3">
        <v>8376.3142857142866</v>
      </c>
      <c r="E63" s="3">
        <v>4188.1571428571433</v>
      </c>
      <c r="F63" s="3">
        <v>758</v>
      </c>
      <c r="G63" s="3">
        <v>113</v>
      </c>
      <c r="H63" s="3">
        <v>-3317.1571428571433</v>
      </c>
      <c r="I63" s="3">
        <v>-2653.7257142857147</v>
      </c>
      <c r="J63" s="3">
        <v>-265.37257142857146</v>
      </c>
      <c r="K63" s="3">
        <v>-88.457523809523821</v>
      </c>
      <c r="L63" s="3">
        <v>-8.8457523809523817</v>
      </c>
    </row>
    <row r="64" spans="1:12" x14ac:dyDescent="0.25">
      <c r="A64" s="3" t="s">
        <v>20</v>
      </c>
      <c r="B64" s="3" t="s">
        <v>12</v>
      </c>
      <c r="C64" s="3">
        <v>48514</v>
      </c>
      <c r="D64" s="3">
        <v>1386.1142857142856</v>
      </c>
      <c r="E64" s="3">
        <v>693.05714285714282</v>
      </c>
      <c r="F64" s="3">
        <v>301</v>
      </c>
      <c r="G64" s="3">
        <v>39</v>
      </c>
      <c r="H64" s="3">
        <v>-353.05714285714282</v>
      </c>
      <c r="I64" s="3">
        <v>-282.44571428571425</v>
      </c>
      <c r="J64" s="3">
        <v>-28.244571428571426</v>
      </c>
      <c r="K64" s="3">
        <v>-9.4148571428571408</v>
      </c>
      <c r="L64" s="3">
        <v>-0.94148571428571415</v>
      </c>
    </row>
    <row r="65" spans="1:12" x14ac:dyDescent="0.25">
      <c r="A65" s="3" t="s">
        <v>21</v>
      </c>
      <c r="B65" s="3" t="s">
        <v>4</v>
      </c>
      <c r="C65" s="3">
        <v>57986</v>
      </c>
      <c r="D65" s="3">
        <v>1656.7428571428572</v>
      </c>
      <c r="E65" s="3">
        <v>828.37142857142862</v>
      </c>
      <c r="F65" s="3">
        <v>178</v>
      </c>
      <c r="G65" s="3">
        <v>37</v>
      </c>
      <c r="H65" s="3">
        <v>-613.37142857142862</v>
      </c>
      <c r="I65" s="3">
        <v>-490.69714285714292</v>
      </c>
      <c r="J65" s="3">
        <v>-49.069714285714298</v>
      </c>
      <c r="K65" s="3">
        <v>-16.356571428571431</v>
      </c>
      <c r="L65" s="3">
        <v>-1.6356571428571434</v>
      </c>
    </row>
    <row r="66" spans="1:12" x14ac:dyDescent="0.25">
      <c r="A66" s="3" t="s">
        <v>21</v>
      </c>
      <c r="B66" s="3" t="s">
        <v>5</v>
      </c>
      <c r="C66" s="3">
        <v>48108</v>
      </c>
      <c r="D66" s="3">
        <v>1374.5142857142857</v>
      </c>
      <c r="E66" s="3">
        <v>687.25714285714287</v>
      </c>
      <c r="F66" s="3">
        <v>234</v>
      </c>
      <c r="G66" s="3">
        <v>100</v>
      </c>
      <c r="H66" s="3">
        <v>-353.25714285714287</v>
      </c>
      <c r="I66" s="3">
        <v>-282.60571428571433</v>
      </c>
      <c r="J66" s="3">
        <v>-28.260571428571435</v>
      </c>
      <c r="K66" s="3">
        <v>-9.4201904761904771</v>
      </c>
      <c r="L66" s="3">
        <v>-0.94201904761904787</v>
      </c>
    </row>
    <row r="67" spans="1:12" x14ac:dyDescent="0.25">
      <c r="A67" s="3" t="s">
        <v>21</v>
      </c>
      <c r="B67" s="3" t="s">
        <v>6</v>
      </c>
      <c r="C67" s="3">
        <v>184613</v>
      </c>
      <c r="D67" s="3">
        <v>5274.6571428571433</v>
      </c>
      <c r="E67" s="3">
        <v>2637.3285714285716</v>
      </c>
      <c r="F67" s="3">
        <v>710</v>
      </c>
      <c r="G67" s="3">
        <v>57</v>
      </c>
      <c r="H67" s="3">
        <v>-1870.3285714285716</v>
      </c>
      <c r="I67" s="3">
        <v>-1496.2628571428575</v>
      </c>
      <c r="J67" s="3">
        <v>-149.62628571428576</v>
      </c>
      <c r="K67" s="3">
        <v>-49.875428571428579</v>
      </c>
      <c r="L67" s="3">
        <v>-4.9875428571428584</v>
      </c>
    </row>
    <row r="68" spans="1:12" x14ac:dyDescent="0.25">
      <c r="A68" s="3" t="s">
        <v>21</v>
      </c>
      <c r="B68" s="3" t="s">
        <v>7</v>
      </c>
      <c r="C68" s="3">
        <v>234107</v>
      </c>
      <c r="D68" s="3">
        <v>6688.7714285714283</v>
      </c>
      <c r="E68" s="3">
        <v>3344.3857142857141</v>
      </c>
      <c r="F68" s="3">
        <v>1073</v>
      </c>
      <c r="G68" s="3">
        <v>0</v>
      </c>
      <c r="H68" s="3">
        <v>-2271.3857142857141</v>
      </c>
      <c r="I68" s="3">
        <v>-1817.1085714285714</v>
      </c>
      <c r="J68" s="3">
        <v>-181.71085714285715</v>
      </c>
      <c r="K68" s="3">
        <v>-60.57028571428571</v>
      </c>
      <c r="L68" s="3">
        <v>-6.0570285714285719</v>
      </c>
    </row>
    <row r="69" spans="1:12" x14ac:dyDescent="0.25">
      <c r="A69" s="3" t="s">
        <v>21</v>
      </c>
      <c r="B69" s="3" t="s">
        <v>8</v>
      </c>
      <c r="C69" s="3">
        <v>48684</v>
      </c>
      <c r="D69" s="3">
        <v>1390.9714285714285</v>
      </c>
      <c r="E69" s="3">
        <v>695.48571428571415</v>
      </c>
      <c r="F69" s="3">
        <v>229</v>
      </c>
      <c r="G69" s="3">
        <v>31</v>
      </c>
      <c r="H69" s="3">
        <v>-435.48571428571415</v>
      </c>
      <c r="I69" s="3">
        <v>-348.38857142857137</v>
      </c>
      <c r="J69" s="3">
        <v>-34.838857142857137</v>
      </c>
      <c r="K69" s="3">
        <v>-11.612952380952379</v>
      </c>
      <c r="L69" s="3">
        <v>-1.1612952380952379</v>
      </c>
    </row>
    <row r="70" spans="1:12" x14ac:dyDescent="0.25">
      <c r="A70" s="3" t="s">
        <v>21</v>
      </c>
      <c r="B70" s="3" t="s">
        <v>9</v>
      </c>
      <c r="C70" s="3">
        <v>14471</v>
      </c>
      <c r="D70" s="3">
        <v>413.45714285714286</v>
      </c>
      <c r="E70" s="3">
        <v>206.72857142857143</v>
      </c>
      <c r="F70" s="3">
        <v>62</v>
      </c>
      <c r="G70" s="3">
        <v>0</v>
      </c>
      <c r="H70" s="3">
        <v>-144.72857142857143</v>
      </c>
      <c r="I70" s="3">
        <v>-115.78285714285715</v>
      </c>
      <c r="J70" s="3">
        <v>-11.578285714285716</v>
      </c>
      <c r="K70" s="3">
        <v>-3.8594285714285719</v>
      </c>
      <c r="L70" s="3">
        <v>-0.3859428571428572</v>
      </c>
    </row>
    <row r="71" spans="1:12" x14ac:dyDescent="0.25">
      <c r="A71" s="3" t="s">
        <v>21</v>
      </c>
      <c r="B71" s="3" t="s">
        <v>10</v>
      </c>
      <c r="C71" s="3">
        <v>80217</v>
      </c>
      <c r="D71" s="3">
        <v>2291.9142857142856</v>
      </c>
      <c r="E71" s="3">
        <v>1145.9571428571428</v>
      </c>
      <c r="F71" s="3">
        <v>307</v>
      </c>
      <c r="G71" s="3">
        <v>30</v>
      </c>
      <c r="H71" s="3">
        <v>-808.9571428571428</v>
      </c>
      <c r="I71" s="3">
        <v>-647.16571428571433</v>
      </c>
      <c r="J71" s="3">
        <v>-64.716571428571442</v>
      </c>
      <c r="K71" s="3">
        <v>-21.572190476190478</v>
      </c>
      <c r="L71" s="3">
        <v>-2.1572190476190483</v>
      </c>
    </row>
    <row r="72" spans="1:12" x14ac:dyDescent="0.25">
      <c r="A72" s="3" t="s">
        <v>21</v>
      </c>
      <c r="B72" s="3" t="s">
        <v>11</v>
      </c>
      <c r="C72" s="3">
        <v>293171</v>
      </c>
      <c r="D72" s="3">
        <v>8376.3142857142866</v>
      </c>
      <c r="E72" s="3">
        <v>4188.1571428571433</v>
      </c>
      <c r="F72" s="3">
        <v>685</v>
      </c>
      <c r="G72" s="3">
        <v>29</v>
      </c>
      <c r="H72" s="3">
        <v>-3474.1571428571433</v>
      </c>
      <c r="I72" s="3">
        <v>-2779.3257142857146</v>
      </c>
      <c r="J72" s="3">
        <v>-277.93257142857146</v>
      </c>
      <c r="K72" s="3">
        <v>-92.644190476190488</v>
      </c>
      <c r="L72" s="3">
        <v>-9.2644190476190484</v>
      </c>
    </row>
    <row r="73" spans="1:12" x14ac:dyDescent="0.25">
      <c r="A73" s="3" t="s">
        <v>21</v>
      </c>
      <c r="B73" s="3" t="s">
        <v>12</v>
      </c>
      <c r="C73" s="3">
        <v>48514</v>
      </c>
      <c r="D73" s="3">
        <v>1386.1142857142856</v>
      </c>
      <c r="E73" s="3">
        <v>693.05714285714282</v>
      </c>
      <c r="F73" s="3">
        <v>260</v>
      </c>
      <c r="G73" s="3">
        <v>0</v>
      </c>
      <c r="H73" s="3">
        <v>-433.05714285714282</v>
      </c>
      <c r="I73" s="3">
        <v>-346.4457142857143</v>
      </c>
      <c r="J73" s="3">
        <v>-34.644571428571432</v>
      </c>
      <c r="K73" s="3">
        <v>-11.548190476190477</v>
      </c>
      <c r="L73" s="3">
        <v>-1.1548190476190476</v>
      </c>
    </row>
    <row r="74" spans="1:12" x14ac:dyDescent="0.25">
      <c r="A74" s="3" t="s">
        <v>22</v>
      </c>
      <c r="B74" s="3" t="s">
        <v>4</v>
      </c>
      <c r="C74" s="3">
        <v>57986</v>
      </c>
      <c r="D74" s="3">
        <v>1656.7428571428572</v>
      </c>
      <c r="E74" s="3">
        <v>828.37142857142862</v>
      </c>
      <c r="F74" s="3">
        <v>174</v>
      </c>
      <c r="G74" s="3">
        <v>0</v>
      </c>
      <c r="H74" s="3">
        <v>-654.37142857142862</v>
      </c>
      <c r="I74" s="3">
        <v>-523.49714285714288</v>
      </c>
      <c r="J74" s="3">
        <v>-52.349714285714292</v>
      </c>
      <c r="K74" s="3">
        <v>-17.449904761904762</v>
      </c>
      <c r="L74" s="3">
        <v>-1.7449904761904764</v>
      </c>
    </row>
    <row r="75" spans="1:12" x14ac:dyDescent="0.25">
      <c r="A75" s="3" t="s">
        <v>22</v>
      </c>
      <c r="B75" s="3" t="s">
        <v>5</v>
      </c>
      <c r="C75" s="3">
        <v>48108</v>
      </c>
      <c r="D75" s="3">
        <v>1374.5142857142857</v>
      </c>
      <c r="E75" s="3">
        <v>687.25714285714287</v>
      </c>
      <c r="F75" s="3">
        <v>129</v>
      </c>
      <c r="G75" s="3">
        <v>27</v>
      </c>
      <c r="H75" s="3">
        <v>-531.25714285714287</v>
      </c>
      <c r="I75" s="3">
        <v>-425.0057142857143</v>
      </c>
      <c r="J75" s="3">
        <v>-42.500571428571433</v>
      </c>
      <c r="K75" s="3">
        <v>-14.166857142857143</v>
      </c>
      <c r="L75" s="3">
        <v>-1.4166857142857145</v>
      </c>
    </row>
    <row r="76" spans="1:12" x14ac:dyDescent="0.25">
      <c r="A76" s="3" t="s">
        <v>22</v>
      </c>
      <c r="B76" s="3" t="s">
        <v>6</v>
      </c>
      <c r="C76" s="3">
        <v>184613</v>
      </c>
      <c r="D76" s="3">
        <v>5274.6571428571433</v>
      </c>
      <c r="E76" s="3">
        <v>2637.3285714285716</v>
      </c>
      <c r="F76" s="3">
        <v>449</v>
      </c>
      <c r="G76" s="3">
        <v>98</v>
      </c>
      <c r="H76" s="3">
        <v>-2090.3285714285716</v>
      </c>
      <c r="I76" s="3">
        <v>-1672.2628571428575</v>
      </c>
      <c r="J76" s="3">
        <v>-167.22628571428575</v>
      </c>
      <c r="K76" s="3">
        <v>-55.742095238095246</v>
      </c>
      <c r="L76" s="3">
        <v>-5.5742095238095253</v>
      </c>
    </row>
    <row r="77" spans="1:12" x14ac:dyDescent="0.25">
      <c r="A77" s="3" t="s">
        <v>22</v>
      </c>
      <c r="B77" s="3" t="s">
        <v>7</v>
      </c>
      <c r="C77" s="3">
        <v>234107</v>
      </c>
      <c r="D77" s="3">
        <v>6688.7714285714283</v>
      </c>
      <c r="E77" s="3">
        <v>3344.3857142857141</v>
      </c>
      <c r="F77" s="3">
        <v>815</v>
      </c>
      <c r="G77" s="3">
        <v>33</v>
      </c>
      <c r="H77" s="3">
        <v>-2496.3857142857141</v>
      </c>
      <c r="I77" s="3">
        <v>-1997.1085714285714</v>
      </c>
      <c r="J77" s="3">
        <v>-199.71085714285715</v>
      </c>
      <c r="K77" s="3">
        <v>-66.570285714285717</v>
      </c>
      <c r="L77" s="3">
        <v>-6.6570285714285715</v>
      </c>
    </row>
    <row r="78" spans="1:12" x14ac:dyDescent="0.25">
      <c r="A78" s="3" t="s">
        <v>22</v>
      </c>
      <c r="B78" s="3" t="s">
        <v>8</v>
      </c>
      <c r="C78" s="3">
        <v>48684</v>
      </c>
      <c r="D78" s="3">
        <v>1390.9714285714285</v>
      </c>
      <c r="E78" s="3">
        <v>695.48571428571415</v>
      </c>
      <c r="F78" s="3">
        <v>184</v>
      </c>
      <c r="G78" s="3">
        <v>26</v>
      </c>
      <c r="H78" s="3">
        <v>-485.48571428571415</v>
      </c>
      <c r="I78" s="3">
        <v>-388.38857142857137</v>
      </c>
      <c r="J78" s="3">
        <v>-38.838857142857137</v>
      </c>
      <c r="K78" s="3">
        <v>-12.946285714285713</v>
      </c>
      <c r="L78" s="3">
        <v>-1.2946285714285712</v>
      </c>
    </row>
    <row r="79" spans="1:12" x14ac:dyDescent="0.25">
      <c r="A79" s="3" t="s">
        <v>22</v>
      </c>
      <c r="B79" s="3" t="s">
        <v>9</v>
      </c>
      <c r="C79" s="3">
        <v>14471</v>
      </c>
      <c r="D79" s="3">
        <v>413.45714285714286</v>
      </c>
      <c r="E79" s="3">
        <v>206.72857142857143</v>
      </c>
      <c r="F79" s="3">
        <v>68</v>
      </c>
      <c r="G79" s="3">
        <v>0</v>
      </c>
      <c r="H79" s="3">
        <v>-138.72857142857143</v>
      </c>
      <c r="I79" s="3">
        <v>-110.98285714285714</v>
      </c>
      <c r="J79" s="3">
        <v>-11.098285714285716</v>
      </c>
      <c r="K79" s="3">
        <v>-3.6994285714285713</v>
      </c>
      <c r="L79" s="3">
        <v>-0.36994285714285718</v>
      </c>
    </row>
    <row r="80" spans="1:12" x14ac:dyDescent="0.25">
      <c r="A80" s="3" t="s">
        <v>22</v>
      </c>
      <c r="B80" s="3" t="s">
        <v>10</v>
      </c>
      <c r="C80" s="3">
        <v>80217</v>
      </c>
      <c r="D80" s="3">
        <v>2291.9142857142856</v>
      </c>
      <c r="E80" s="3">
        <v>1145.9571428571428</v>
      </c>
      <c r="F80" s="3">
        <v>334</v>
      </c>
      <c r="G80" s="3">
        <v>39</v>
      </c>
      <c r="H80" s="3">
        <v>-772.9571428571428</v>
      </c>
      <c r="I80" s="3">
        <v>-618.36571428571426</v>
      </c>
      <c r="J80" s="3">
        <v>-61.836571428571432</v>
      </c>
      <c r="K80" s="3">
        <v>-20.612190476190474</v>
      </c>
      <c r="L80" s="3">
        <v>-2.0612190476190477</v>
      </c>
    </row>
    <row r="81" spans="1:12" x14ac:dyDescent="0.25">
      <c r="A81" s="3" t="s">
        <v>22</v>
      </c>
      <c r="B81" s="3" t="s">
        <v>11</v>
      </c>
      <c r="C81" s="3">
        <v>293171</v>
      </c>
      <c r="D81" s="3">
        <v>8376.3142857142866</v>
      </c>
      <c r="E81" s="3">
        <v>4188.1571428571433</v>
      </c>
      <c r="F81" s="3">
        <v>513</v>
      </c>
      <c r="G81" s="3">
        <v>0</v>
      </c>
      <c r="H81" s="3">
        <v>-3675.1571428571433</v>
      </c>
      <c r="I81" s="3">
        <v>-2940.1257142857148</v>
      </c>
      <c r="J81" s="3">
        <v>-294.0125714285715</v>
      </c>
      <c r="K81" s="3">
        <v>-98.004190476190487</v>
      </c>
      <c r="L81" s="3">
        <v>-9.8004190476190498</v>
      </c>
    </row>
    <row r="82" spans="1:12" x14ac:dyDescent="0.25">
      <c r="A82" s="3" t="s">
        <v>22</v>
      </c>
      <c r="B82" s="3" t="s">
        <v>12</v>
      </c>
      <c r="C82" s="3">
        <v>48514</v>
      </c>
      <c r="D82" s="3">
        <v>1386.1142857142856</v>
      </c>
      <c r="E82" s="3">
        <v>693.05714285714282</v>
      </c>
      <c r="F82" s="3">
        <v>199</v>
      </c>
      <c r="G82" s="3">
        <v>48</v>
      </c>
      <c r="H82" s="3">
        <v>-446.05714285714282</v>
      </c>
      <c r="I82" s="3">
        <v>-356.84571428571428</v>
      </c>
      <c r="J82" s="3">
        <v>-35.684571428571431</v>
      </c>
      <c r="K82" s="3">
        <v>-11.894857142857143</v>
      </c>
      <c r="L82" s="3">
        <v>-1.1894857142857143</v>
      </c>
    </row>
    <row r="83" spans="1:12" x14ac:dyDescent="0.25">
      <c r="A83" s="3" t="s">
        <v>23</v>
      </c>
      <c r="B83" s="3" t="s">
        <v>4</v>
      </c>
      <c r="C83" s="3">
        <v>57986</v>
      </c>
      <c r="D83" s="3">
        <v>1656.7428571428572</v>
      </c>
      <c r="E83" s="3">
        <v>828.37142857142862</v>
      </c>
      <c r="F83" s="3">
        <v>107</v>
      </c>
      <c r="G83" s="3">
        <v>31</v>
      </c>
      <c r="H83" s="3">
        <v>-690.37142857142862</v>
      </c>
      <c r="I83" s="3">
        <v>-552.29714285714294</v>
      </c>
      <c r="J83" s="3">
        <v>-55.229714285714294</v>
      </c>
      <c r="K83" s="3">
        <v>-18.409904761904766</v>
      </c>
      <c r="L83" s="3">
        <v>-1.8409904761904765</v>
      </c>
    </row>
    <row r="84" spans="1:12" x14ac:dyDescent="0.25">
      <c r="A84" s="3" t="s">
        <v>23</v>
      </c>
      <c r="B84" s="3" t="s">
        <v>5</v>
      </c>
      <c r="C84" s="3">
        <v>48108</v>
      </c>
      <c r="D84" s="3">
        <v>1374.5142857142857</v>
      </c>
      <c r="E84" s="3">
        <v>687.25714285714287</v>
      </c>
      <c r="F84" s="3">
        <v>283</v>
      </c>
      <c r="G84" s="3">
        <v>31</v>
      </c>
      <c r="H84" s="3">
        <v>-373.25714285714287</v>
      </c>
      <c r="I84" s="3">
        <v>-298.60571428571433</v>
      </c>
      <c r="J84" s="3">
        <v>-29.860571428571433</v>
      </c>
      <c r="K84" s="3">
        <v>-9.9535238095238103</v>
      </c>
      <c r="L84" s="3">
        <v>-0.9953523809523811</v>
      </c>
    </row>
    <row r="85" spans="1:12" x14ac:dyDescent="0.25">
      <c r="A85" s="3" t="s">
        <v>23</v>
      </c>
      <c r="B85" s="3" t="s">
        <v>6</v>
      </c>
      <c r="C85" s="3">
        <v>184613</v>
      </c>
      <c r="D85" s="3">
        <v>5274.6571428571433</v>
      </c>
      <c r="E85" s="3">
        <v>2637.3285714285716</v>
      </c>
      <c r="F85" s="3">
        <v>848</v>
      </c>
      <c r="G85" s="3">
        <v>94</v>
      </c>
      <c r="H85" s="3">
        <v>-1695.3285714285716</v>
      </c>
      <c r="I85" s="3">
        <v>-1356.2628571428575</v>
      </c>
      <c r="J85" s="3">
        <v>-135.62628571428576</v>
      </c>
      <c r="K85" s="3">
        <v>-45.208761904761914</v>
      </c>
      <c r="L85" s="3">
        <v>-4.5208761904761916</v>
      </c>
    </row>
    <row r="86" spans="1:12" x14ac:dyDescent="0.25">
      <c r="A86" s="3" t="s">
        <v>23</v>
      </c>
      <c r="B86" s="3" t="s">
        <v>7</v>
      </c>
      <c r="C86" s="3">
        <v>234107</v>
      </c>
      <c r="D86" s="3">
        <v>6688.7714285714283</v>
      </c>
      <c r="E86" s="3">
        <v>3344.3857142857141</v>
      </c>
      <c r="F86" s="3">
        <v>1103</v>
      </c>
      <c r="G86" s="3">
        <v>145</v>
      </c>
      <c r="H86" s="3">
        <v>-2096.3857142857141</v>
      </c>
      <c r="I86" s="3">
        <v>-1677.1085714285714</v>
      </c>
      <c r="J86" s="3">
        <v>-167.71085714285715</v>
      </c>
      <c r="K86" s="3">
        <v>-55.903619047619046</v>
      </c>
      <c r="L86" s="3">
        <v>-5.5903619047619051</v>
      </c>
    </row>
    <row r="87" spans="1:12" x14ac:dyDescent="0.25">
      <c r="A87" s="3" t="s">
        <v>23</v>
      </c>
      <c r="B87" s="3" t="s">
        <v>8</v>
      </c>
      <c r="C87" s="3">
        <v>48684</v>
      </c>
      <c r="D87" s="3">
        <v>1390.9714285714285</v>
      </c>
      <c r="E87" s="3">
        <v>695.48571428571415</v>
      </c>
      <c r="F87" s="3">
        <v>269</v>
      </c>
      <c r="G87" s="3">
        <v>59</v>
      </c>
      <c r="H87" s="3">
        <v>-367.48571428571415</v>
      </c>
      <c r="I87" s="3">
        <v>-293.98857142857133</v>
      </c>
      <c r="J87" s="3">
        <v>-29.398857142857135</v>
      </c>
      <c r="K87" s="3">
        <v>-9.7996190476190446</v>
      </c>
      <c r="L87" s="3">
        <v>-0.97996190476190448</v>
      </c>
    </row>
    <row r="88" spans="1:12" x14ac:dyDescent="0.25">
      <c r="A88" s="3" t="s">
        <v>23</v>
      </c>
      <c r="B88" s="3" t="s">
        <v>9</v>
      </c>
      <c r="C88" s="3">
        <v>14471</v>
      </c>
      <c r="D88" s="3">
        <v>413.45714285714286</v>
      </c>
      <c r="E88" s="3">
        <v>206.72857142857143</v>
      </c>
      <c r="F88" s="3">
        <v>29</v>
      </c>
      <c r="G88" s="3">
        <v>23</v>
      </c>
      <c r="H88" s="3">
        <v>-154.72857142857143</v>
      </c>
      <c r="I88" s="3">
        <v>-123.78285714285715</v>
      </c>
      <c r="J88" s="3">
        <v>-12.378285714285717</v>
      </c>
      <c r="K88" s="3">
        <v>-4.126095238095238</v>
      </c>
      <c r="L88" s="3">
        <v>-0.41260952380952387</v>
      </c>
    </row>
    <row r="89" spans="1:12" x14ac:dyDescent="0.25">
      <c r="A89" s="3" t="s">
        <v>23</v>
      </c>
      <c r="B89" s="3" t="s">
        <v>10</v>
      </c>
      <c r="C89" s="3">
        <v>80217</v>
      </c>
      <c r="D89" s="3">
        <v>2291.9142857142856</v>
      </c>
      <c r="E89" s="3">
        <v>1145.9571428571428</v>
      </c>
      <c r="F89" s="3">
        <v>333</v>
      </c>
      <c r="G89" s="3">
        <v>53</v>
      </c>
      <c r="H89" s="3">
        <v>-759.9571428571428</v>
      </c>
      <c r="I89" s="3">
        <v>-607.96571428571428</v>
      </c>
      <c r="J89" s="3">
        <v>-60.796571428571433</v>
      </c>
      <c r="K89" s="3">
        <v>-20.26552380952381</v>
      </c>
      <c r="L89" s="3">
        <v>-2.0265523809523809</v>
      </c>
    </row>
    <row r="90" spans="1:12" x14ac:dyDescent="0.25">
      <c r="A90" s="3" t="s">
        <v>23</v>
      </c>
      <c r="B90" s="3" t="s">
        <v>11</v>
      </c>
      <c r="C90" s="3">
        <v>293171</v>
      </c>
      <c r="D90" s="3">
        <v>8376.3142857142866</v>
      </c>
      <c r="E90" s="3">
        <v>4188.1571428571433</v>
      </c>
      <c r="F90" s="3">
        <v>700</v>
      </c>
      <c r="G90" s="3">
        <v>116</v>
      </c>
      <c r="H90" s="3">
        <v>-3372.1571428571433</v>
      </c>
      <c r="I90" s="3">
        <v>-2697.7257142857147</v>
      </c>
      <c r="J90" s="3">
        <v>-269.7725714285715</v>
      </c>
      <c r="K90" s="3">
        <v>-89.924190476190489</v>
      </c>
      <c r="L90" s="3">
        <v>-8.99241904761905</v>
      </c>
    </row>
    <row r="91" spans="1:12" x14ac:dyDescent="0.25">
      <c r="A91" s="3" t="s">
        <v>23</v>
      </c>
      <c r="B91" s="3" t="s">
        <v>12</v>
      </c>
      <c r="C91" s="3">
        <v>48514</v>
      </c>
      <c r="D91" s="3">
        <v>1386.1142857142856</v>
      </c>
      <c r="E91" s="3">
        <v>693.05714285714282</v>
      </c>
      <c r="F91" s="3">
        <v>229</v>
      </c>
      <c r="G91" s="3">
        <v>91</v>
      </c>
      <c r="H91" s="3">
        <v>-373.05714285714282</v>
      </c>
      <c r="I91" s="3">
        <v>-298.44571428571425</v>
      </c>
      <c r="J91" s="3">
        <v>-29.844571428571427</v>
      </c>
      <c r="K91" s="3">
        <v>-9.948190476190474</v>
      </c>
      <c r="L91" s="3">
        <v>-0.9948190476190476</v>
      </c>
    </row>
    <row r="92" spans="1:12" x14ac:dyDescent="0.25">
      <c r="A92" s="3" t="s">
        <v>36</v>
      </c>
      <c r="B92" s="3" t="s">
        <v>4</v>
      </c>
      <c r="C92" s="3">
        <v>57986</v>
      </c>
      <c r="D92" s="3">
        <v>1656.7428571428572</v>
      </c>
      <c r="E92" s="3">
        <v>2208.9904761904763</v>
      </c>
      <c r="F92" s="3">
        <v>626</v>
      </c>
      <c r="G92" s="3">
        <v>95</v>
      </c>
      <c r="H92" s="3">
        <v>-1487.9904761904763</v>
      </c>
      <c r="I92" s="3">
        <v>-1190.392380952381</v>
      </c>
      <c r="J92" s="3">
        <v>-119.0392380952381</v>
      </c>
      <c r="K92" s="3">
        <v>-39.679746031746035</v>
      </c>
      <c r="L92" s="3">
        <v>-3.9679746031746035</v>
      </c>
    </row>
    <row r="93" spans="1:12" x14ac:dyDescent="0.25">
      <c r="A93" s="3" t="s">
        <v>36</v>
      </c>
      <c r="B93" s="3" t="s">
        <v>5</v>
      </c>
      <c r="C93" s="3">
        <v>48108</v>
      </c>
      <c r="D93" s="3">
        <v>1374.5142857142857</v>
      </c>
      <c r="E93" s="3">
        <v>1832.6857142857143</v>
      </c>
      <c r="F93" s="3">
        <v>631</v>
      </c>
      <c r="G93" s="3">
        <v>22</v>
      </c>
      <c r="H93" s="3">
        <v>-1179.6857142857143</v>
      </c>
      <c r="I93" s="3">
        <v>-943.74857142857149</v>
      </c>
      <c r="J93" s="3">
        <v>-94.374857142857152</v>
      </c>
      <c r="K93" s="3">
        <v>-31.458285714285715</v>
      </c>
      <c r="L93" s="3">
        <v>-3.1458285714285719</v>
      </c>
    </row>
    <row r="94" spans="1:12" x14ac:dyDescent="0.25">
      <c r="A94" s="3" t="s">
        <v>36</v>
      </c>
      <c r="B94" s="3" t="s">
        <v>6</v>
      </c>
      <c r="C94" s="3">
        <v>184613</v>
      </c>
      <c r="D94" s="3">
        <v>5274.6571428571433</v>
      </c>
      <c r="E94" s="3">
        <v>7032.8761904761914</v>
      </c>
      <c r="F94" s="3">
        <v>2165</v>
      </c>
      <c r="G94" s="3">
        <v>54</v>
      </c>
      <c r="H94" s="3">
        <v>-4813.8761904761914</v>
      </c>
      <c r="I94" s="3">
        <v>-3851.1009523809535</v>
      </c>
      <c r="J94" s="3">
        <v>-385.11009523809537</v>
      </c>
      <c r="K94" s="3">
        <v>-128.37003174603177</v>
      </c>
      <c r="L94" s="3">
        <v>-12.837003174603179</v>
      </c>
    </row>
    <row r="95" spans="1:12" x14ac:dyDescent="0.25">
      <c r="A95" s="3" t="s">
        <v>36</v>
      </c>
      <c r="B95" s="3" t="s">
        <v>7</v>
      </c>
      <c r="C95" s="3">
        <v>234107</v>
      </c>
      <c r="D95" s="3">
        <v>6688.7714285714283</v>
      </c>
      <c r="E95" s="3">
        <v>8918.361904761905</v>
      </c>
      <c r="F95" s="3">
        <v>3112</v>
      </c>
      <c r="G95" s="3">
        <v>105</v>
      </c>
      <c r="H95" s="3">
        <v>-5701.361904761905</v>
      </c>
      <c r="I95" s="3">
        <v>-4561.0895238095245</v>
      </c>
      <c r="J95" s="3">
        <v>-456.10895238095247</v>
      </c>
      <c r="K95" s="3">
        <v>-152.03631746031749</v>
      </c>
      <c r="L95" s="3">
        <v>-15.20363174603175</v>
      </c>
    </row>
    <row r="96" spans="1:12" x14ac:dyDescent="0.25">
      <c r="A96" s="3" t="s">
        <v>36</v>
      </c>
      <c r="B96" s="3" t="s">
        <v>8</v>
      </c>
      <c r="C96" s="3">
        <v>48684</v>
      </c>
      <c r="D96" s="3">
        <v>1390.9714285714285</v>
      </c>
      <c r="E96" s="3">
        <v>1854.6285714285714</v>
      </c>
      <c r="F96" s="3">
        <v>695</v>
      </c>
      <c r="G96" s="3">
        <v>0</v>
      </c>
      <c r="H96" s="3">
        <v>-1159.6285714285714</v>
      </c>
      <c r="I96" s="3">
        <v>-927.70285714285717</v>
      </c>
      <c r="J96" s="3">
        <v>-92.77028571428572</v>
      </c>
      <c r="K96" s="3">
        <v>-30.923428571428573</v>
      </c>
      <c r="L96" s="3">
        <v>-3.0923428571428575</v>
      </c>
    </row>
    <row r="97" spans="1:12" x14ac:dyDescent="0.25">
      <c r="A97" s="3" t="s">
        <v>36</v>
      </c>
      <c r="B97" s="3" t="s">
        <v>9</v>
      </c>
      <c r="C97" s="3">
        <v>14471</v>
      </c>
      <c r="D97" s="3">
        <v>413.45714285714286</v>
      </c>
      <c r="E97" s="3">
        <v>551.27619047619044</v>
      </c>
      <c r="F97" s="3">
        <v>160</v>
      </c>
      <c r="G97" s="3">
        <v>125</v>
      </c>
      <c r="H97" s="3">
        <v>-266.27619047619044</v>
      </c>
      <c r="I97" s="3">
        <v>-213.02095238095237</v>
      </c>
      <c r="J97" s="3">
        <v>-21.302095238095237</v>
      </c>
      <c r="K97" s="3">
        <v>-7.1006984126984118</v>
      </c>
      <c r="L97" s="3">
        <v>-0.7100698412698413</v>
      </c>
    </row>
    <row r="98" spans="1:12" x14ac:dyDescent="0.25">
      <c r="A98" s="3" t="s">
        <v>36</v>
      </c>
      <c r="B98" s="3" t="s">
        <v>10</v>
      </c>
      <c r="C98" s="3">
        <v>80217</v>
      </c>
      <c r="D98" s="3">
        <v>2291.9142857142856</v>
      </c>
      <c r="E98" s="3">
        <v>3055.8857142857141</v>
      </c>
      <c r="F98" s="3">
        <v>1218</v>
      </c>
      <c r="G98" s="3">
        <v>0</v>
      </c>
      <c r="H98" s="3">
        <v>-1837.8857142857141</v>
      </c>
      <c r="I98" s="3">
        <v>-1470.3085714285714</v>
      </c>
      <c r="J98" s="3">
        <v>-147.03085714285714</v>
      </c>
      <c r="K98" s="3">
        <v>-49.010285714285715</v>
      </c>
      <c r="L98" s="3">
        <v>-4.9010285714285713</v>
      </c>
    </row>
    <row r="99" spans="1:12" x14ac:dyDescent="0.25">
      <c r="A99" s="3" t="s">
        <v>36</v>
      </c>
      <c r="B99" s="3" t="s">
        <v>11</v>
      </c>
      <c r="C99" s="3">
        <v>293171</v>
      </c>
      <c r="D99" s="3">
        <v>8376.3142857142866</v>
      </c>
      <c r="E99" s="3">
        <v>11168.419047619049</v>
      </c>
      <c r="F99" s="3">
        <v>2357</v>
      </c>
      <c r="G99" s="3">
        <v>163</v>
      </c>
      <c r="H99" s="3">
        <v>-8648.4190476190488</v>
      </c>
      <c r="I99" s="3">
        <v>-6918.7352380952398</v>
      </c>
      <c r="J99" s="3">
        <v>-691.87352380952404</v>
      </c>
      <c r="K99" s="3">
        <v>-230.624507936508</v>
      </c>
      <c r="L99" s="3">
        <v>-23.0624507936508</v>
      </c>
    </row>
    <row r="100" spans="1:12" x14ac:dyDescent="0.25">
      <c r="A100" s="3" t="s">
        <v>36</v>
      </c>
      <c r="B100" s="3" t="s">
        <v>12</v>
      </c>
      <c r="C100" s="3">
        <v>48514</v>
      </c>
      <c r="D100" s="3">
        <v>1386.1142857142856</v>
      </c>
      <c r="E100" s="3">
        <v>1848.1523809523808</v>
      </c>
      <c r="F100" s="3">
        <v>685</v>
      </c>
      <c r="G100" s="3">
        <v>65</v>
      </c>
      <c r="H100" s="3">
        <v>-1098.1523809523808</v>
      </c>
      <c r="I100" s="3">
        <v>-878.52190476190469</v>
      </c>
      <c r="J100" s="3">
        <v>-87.852190476190472</v>
      </c>
      <c r="K100" s="3">
        <v>-29.284063492063488</v>
      </c>
      <c r="L100" s="3">
        <v>-2.928406349206349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679E-A415-4D0A-9A16-A3F28E47C35C}">
  <dimension ref="A1:H28"/>
  <sheetViews>
    <sheetView tabSelected="1" workbookViewId="0">
      <selection activeCell="I18" sqref="I18"/>
    </sheetView>
  </sheetViews>
  <sheetFormatPr baseColWidth="10" defaultRowHeight="15" x14ac:dyDescent="0.25"/>
  <cols>
    <col min="1" max="1" width="9.42578125" bestFit="1" customWidth="1"/>
    <col min="2" max="2" width="30.85546875" bestFit="1" customWidth="1"/>
    <col min="3" max="3" width="9" bestFit="1" customWidth="1"/>
    <col min="4" max="4" width="10.7109375" bestFit="1" customWidth="1"/>
    <col min="5" max="5" width="9" bestFit="1" customWidth="1"/>
    <col min="6" max="6" width="11.28515625" bestFit="1" customWidth="1"/>
    <col min="7" max="7" width="9.7109375" bestFit="1" customWidth="1"/>
    <col min="8" max="8" width="13.85546875" bestFit="1" customWidth="1"/>
  </cols>
  <sheetData>
    <row r="1" spans="1:8" x14ac:dyDescent="0.25">
      <c r="A1" s="1" t="s">
        <v>32</v>
      </c>
      <c r="B1" s="1" t="s">
        <v>0</v>
      </c>
      <c r="C1" s="1" t="s">
        <v>25</v>
      </c>
      <c r="D1" s="1" t="s">
        <v>1</v>
      </c>
      <c r="E1" s="1" t="s">
        <v>24</v>
      </c>
      <c r="F1" s="1" t="s">
        <v>2</v>
      </c>
      <c r="G1" s="1" t="s">
        <v>3</v>
      </c>
      <c r="H1" s="2" t="s">
        <v>38</v>
      </c>
    </row>
    <row r="2" spans="1:8" x14ac:dyDescent="0.25">
      <c r="A2" t="s">
        <v>42</v>
      </c>
      <c r="B2" t="s">
        <v>43</v>
      </c>
      <c r="C2">
        <v>15341.82</v>
      </c>
      <c r="D2">
        <v>613.67279999999994</v>
      </c>
      <c r="E2">
        <v>564</v>
      </c>
      <c r="F2">
        <v>36</v>
      </c>
      <c r="G2">
        <v>-13.672799999999938</v>
      </c>
      <c r="H2">
        <v>-0.45575999999999794</v>
      </c>
    </row>
    <row r="3" spans="1:8" x14ac:dyDescent="0.25">
      <c r="A3" t="s">
        <v>42</v>
      </c>
      <c r="B3" t="s">
        <v>44</v>
      </c>
      <c r="C3">
        <v>14439.49</v>
      </c>
      <c r="D3">
        <v>577.57960000000003</v>
      </c>
      <c r="E3">
        <v>588</v>
      </c>
      <c r="F3">
        <v>57</v>
      </c>
      <c r="G3">
        <v>67.420399999999972</v>
      </c>
      <c r="H3" t="s">
        <v>41</v>
      </c>
    </row>
    <row r="4" spans="1:8" x14ac:dyDescent="0.25">
      <c r="A4" t="s">
        <v>42</v>
      </c>
      <c r="B4" t="s">
        <v>45</v>
      </c>
      <c r="C4">
        <v>56588.22</v>
      </c>
      <c r="D4">
        <v>2263.5288</v>
      </c>
      <c r="E4">
        <v>1950</v>
      </c>
      <c r="F4">
        <v>82</v>
      </c>
      <c r="G4">
        <v>-231.52880000000005</v>
      </c>
      <c r="H4">
        <v>-7.7176266666666686</v>
      </c>
    </row>
    <row r="5" spans="1:8" x14ac:dyDescent="0.25">
      <c r="A5" t="s">
        <v>42</v>
      </c>
      <c r="B5" t="s">
        <v>46</v>
      </c>
      <c r="C5">
        <v>77049.67</v>
      </c>
      <c r="D5">
        <v>3081.9868000000001</v>
      </c>
      <c r="E5">
        <v>2797</v>
      </c>
      <c r="F5">
        <v>158</v>
      </c>
      <c r="G5">
        <v>-126.98680000000013</v>
      </c>
      <c r="H5">
        <v>-4.2328933333333376</v>
      </c>
    </row>
    <row r="6" spans="1:8" x14ac:dyDescent="0.25">
      <c r="A6" t="s">
        <v>42</v>
      </c>
      <c r="B6" t="s">
        <v>47</v>
      </c>
      <c r="C6">
        <v>16227.75</v>
      </c>
      <c r="D6">
        <v>649.11</v>
      </c>
      <c r="E6">
        <v>679</v>
      </c>
      <c r="F6">
        <v>28</v>
      </c>
      <c r="G6">
        <v>57.889999999999986</v>
      </c>
      <c r="H6" t="s">
        <v>41</v>
      </c>
    </row>
    <row r="7" spans="1:8" x14ac:dyDescent="0.25">
      <c r="A7" t="s">
        <v>42</v>
      </c>
      <c r="B7" t="s">
        <v>48</v>
      </c>
      <c r="C7">
        <v>3984.41</v>
      </c>
      <c r="D7">
        <v>159.37639999999999</v>
      </c>
      <c r="E7">
        <v>166</v>
      </c>
      <c r="F7">
        <v>25</v>
      </c>
      <c r="G7">
        <v>31.62360000000001</v>
      </c>
      <c r="H7" t="s">
        <v>41</v>
      </c>
    </row>
    <row r="8" spans="1:8" x14ac:dyDescent="0.25">
      <c r="A8" t="s">
        <v>42</v>
      </c>
      <c r="B8" t="s">
        <v>49</v>
      </c>
      <c r="C8">
        <v>26882.55</v>
      </c>
      <c r="D8">
        <v>1075.3019999999999</v>
      </c>
      <c r="E8">
        <v>877</v>
      </c>
      <c r="F8">
        <v>66</v>
      </c>
      <c r="G8">
        <v>-132.30199999999991</v>
      </c>
      <c r="H8">
        <v>-4.4100666666666637</v>
      </c>
    </row>
    <row r="9" spans="1:8" x14ac:dyDescent="0.25">
      <c r="A9" t="s">
        <v>42</v>
      </c>
      <c r="B9" t="s">
        <v>50</v>
      </c>
      <c r="C9">
        <v>80722.95</v>
      </c>
      <c r="D9">
        <v>3228.9179999999997</v>
      </c>
      <c r="E9">
        <v>2676</v>
      </c>
      <c r="F9">
        <v>100</v>
      </c>
      <c r="G9">
        <v>-452.91799999999967</v>
      </c>
      <c r="H9">
        <v>-15.097266666666656</v>
      </c>
    </row>
    <row r="10" spans="1:8" x14ac:dyDescent="0.25">
      <c r="A10" t="s">
        <v>42</v>
      </c>
      <c r="B10" t="s">
        <v>51</v>
      </c>
      <c r="C10">
        <v>12178.73</v>
      </c>
      <c r="D10">
        <v>487.14920000000001</v>
      </c>
      <c r="E10">
        <v>587</v>
      </c>
      <c r="F10">
        <v>90</v>
      </c>
      <c r="G10">
        <v>189.85079999999999</v>
      </c>
      <c r="H10" t="s">
        <v>41</v>
      </c>
    </row>
    <row r="11" spans="1:8" x14ac:dyDescent="0.25">
      <c r="A11" t="s">
        <v>52</v>
      </c>
      <c r="B11" t="s">
        <v>43</v>
      </c>
      <c r="C11">
        <v>73210</v>
      </c>
      <c r="D11">
        <v>2928.4</v>
      </c>
      <c r="E11">
        <v>3862</v>
      </c>
      <c r="F11">
        <v>29</v>
      </c>
      <c r="G11">
        <v>962.59999999999991</v>
      </c>
      <c r="H11" t="s">
        <v>41</v>
      </c>
    </row>
    <row r="12" spans="1:8" x14ac:dyDescent="0.25">
      <c r="A12" t="s">
        <v>52</v>
      </c>
      <c r="B12" t="s">
        <v>44</v>
      </c>
      <c r="C12">
        <v>58223</v>
      </c>
      <c r="D12">
        <v>2328.92</v>
      </c>
      <c r="E12">
        <v>4367</v>
      </c>
      <c r="F12">
        <v>89</v>
      </c>
      <c r="G12">
        <v>2127.08</v>
      </c>
      <c r="H12" t="s">
        <v>41</v>
      </c>
    </row>
    <row r="13" spans="1:8" x14ac:dyDescent="0.25">
      <c r="A13" t="s">
        <v>52</v>
      </c>
      <c r="B13" t="s">
        <v>45</v>
      </c>
      <c r="C13">
        <v>235436</v>
      </c>
      <c r="D13">
        <v>9417.44</v>
      </c>
      <c r="E13">
        <v>11569</v>
      </c>
      <c r="F13">
        <v>58</v>
      </c>
      <c r="G13">
        <v>2209.5599999999995</v>
      </c>
      <c r="H13" t="s">
        <v>41</v>
      </c>
    </row>
    <row r="14" spans="1:8" x14ac:dyDescent="0.25">
      <c r="A14" t="s">
        <v>52</v>
      </c>
      <c r="B14" t="s">
        <v>46</v>
      </c>
      <c r="C14">
        <v>300526</v>
      </c>
      <c r="D14">
        <v>12021.04</v>
      </c>
      <c r="E14">
        <v>18187</v>
      </c>
      <c r="F14">
        <v>181</v>
      </c>
      <c r="G14">
        <v>6346.9599999999991</v>
      </c>
      <c r="H14" t="s">
        <v>41</v>
      </c>
    </row>
    <row r="15" spans="1:8" x14ac:dyDescent="0.25">
      <c r="A15" t="s">
        <v>52</v>
      </c>
      <c r="B15" t="s">
        <v>47</v>
      </c>
      <c r="C15">
        <v>59308</v>
      </c>
      <c r="D15">
        <v>2372.3200000000002</v>
      </c>
      <c r="E15">
        <v>3620</v>
      </c>
      <c r="F15">
        <v>84</v>
      </c>
      <c r="G15">
        <v>1331.6799999999998</v>
      </c>
      <c r="H15" t="s">
        <v>41</v>
      </c>
    </row>
    <row r="16" spans="1:8" x14ac:dyDescent="0.25">
      <c r="A16" t="s">
        <v>52</v>
      </c>
      <c r="B16" t="s">
        <v>48</v>
      </c>
      <c r="C16">
        <v>17028</v>
      </c>
      <c r="D16">
        <v>681.12</v>
      </c>
      <c r="E16">
        <v>1101</v>
      </c>
      <c r="F16">
        <v>23</v>
      </c>
      <c r="G16">
        <v>442.88</v>
      </c>
      <c r="H16" t="s">
        <v>41</v>
      </c>
    </row>
    <row r="17" spans="1:8" x14ac:dyDescent="0.25">
      <c r="A17" t="s">
        <v>52</v>
      </c>
      <c r="B17" t="s">
        <v>49</v>
      </c>
      <c r="C17">
        <v>96274</v>
      </c>
      <c r="D17">
        <v>3850.96</v>
      </c>
      <c r="E17">
        <v>7055</v>
      </c>
      <c r="F17">
        <v>107</v>
      </c>
      <c r="G17">
        <v>3311.04</v>
      </c>
      <c r="H17" t="s">
        <v>41</v>
      </c>
    </row>
    <row r="18" spans="1:8" x14ac:dyDescent="0.25">
      <c r="A18" t="s">
        <v>52</v>
      </c>
      <c r="B18" t="s">
        <v>50</v>
      </c>
      <c r="C18">
        <v>387742</v>
      </c>
      <c r="D18">
        <v>15509.68</v>
      </c>
      <c r="E18">
        <v>15469</v>
      </c>
      <c r="F18">
        <v>175</v>
      </c>
      <c r="G18">
        <v>134.31999999999971</v>
      </c>
      <c r="H18" t="s">
        <v>41</v>
      </c>
    </row>
    <row r="19" spans="1:8" x14ac:dyDescent="0.25">
      <c r="A19" t="s">
        <v>52</v>
      </c>
      <c r="B19" t="s">
        <v>51</v>
      </c>
      <c r="C19">
        <v>57519</v>
      </c>
      <c r="D19">
        <v>2300.7600000000002</v>
      </c>
      <c r="E19">
        <v>3640</v>
      </c>
      <c r="F19">
        <v>34</v>
      </c>
      <c r="G19">
        <v>1373.2399999999998</v>
      </c>
      <c r="H19" t="s">
        <v>41</v>
      </c>
    </row>
    <row r="20" spans="1:8" x14ac:dyDescent="0.25">
      <c r="A20" t="s">
        <v>53</v>
      </c>
      <c r="B20" t="s">
        <v>43</v>
      </c>
      <c r="C20">
        <v>102</v>
      </c>
      <c r="D20">
        <v>4.08</v>
      </c>
      <c r="E20">
        <v>564</v>
      </c>
      <c r="F20">
        <v>0</v>
      </c>
      <c r="G20">
        <v>559.91999999999996</v>
      </c>
      <c r="H20" t="s">
        <v>41</v>
      </c>
    </row>
    <row r="21" spans="1:8" x14ac:dyDescent="0.25">
      <c r="A21" t="s">
        <v>53</v>
      </c>
      <c r="B21" t="s">
        <v>44</v>
      </c>
      <c r="C21">
        <v>136</v>
      </c>
      <c r="D21">
        <v>5.44</v>
      </c>
      <c r="E21">
        <v>588</v>
      </c>
      <c r="F21">
        <v>0</v>
      </c>
      <c r="G21">
        <v>582.55999999999995</v>
      </c>
      <c r="H21" t="s">
        <v>41</v>
      </c>
    </row>
    <row r="22" spans="1:8" x14ac:dyDescent="0.25">
      <c r="A22" t="s">
        <v>53</v>
      </c>
      <c r="B22" t="s">
        <v>45</v>
      </c>
      <c r="C22">
        <v>276</v>
      </c>
      <c r="D22">
        <v>11.04</v>
      </c>
      <c r="E22">
        <v>1950</v>
      </c>
      <c r="F22">
        <v>0</v>
      </c>
      <c r="G22">
        <v>1938.96</v>
      </c>
      <c r="H22" t="s">
        <v>41</v>
      </c>
    </row>
    <row r="23" spans="1:8" x14ac:dyDescent="0.25">
      <c r="A23" t="s">
        <v>53</v>
      </c>
      <c r="B23" t="s">
        <v>46</v>
      </c>
      <c r="C23">
        <v>299</v>
      </c>
      <c r="D23">
        <v>11.96</v>
      </c>
      <c r="E23">
        <v>2797</v>
      </c>
      <c r="F23">
        <v>0</v>
      </c>
      <c r="G23">
        <v>2785.04</v>
      </c>
      <c r="H23" t="s">
        <v>41</v>
      </c>
    </row>
    <row r="24" spans="1:8" x14ac:dyDescent="0.25">
      <c r="A24" t="s">
        <v>53</v>
      </c>
      <c r="B24" t="s">
        <v>47</v>
      </c>
      <c r="C24">
        <v>118</v>
      </c>
      <c r="D24">
        <v>4.72</v>
      </c>
      <c r="E24">
        <v>679</v>
      </c>
      <c r="F24">
        <v>30</v>
      </c>
      <c r="G24">
        <v>704.28</v>
      </c>
      <c r="H24" t="s">
        <v>41</v>
      </c>
    </row>
    <row r="25" spans="1:8" x14ac:dyDescent="0.25">
      <c r="A25" t="s">
        <v>53</v>
      </c>
      <c r="B25" t="s">
        <v>48</v>
      </c>
      <c r="C25">
        <v>54</v>
      </c>
      <c r="D25">
        <v>2.16</v>
      </c>
      <c r="E25">
        <v>166</v>
      </c>
      <c r="F25">
        <v>0</v>
      </c>
      <c r="G25">
        <v>163.84</v>
      </c>
      <c r="H25" t="s">
        <v>41</v>
      </c>
    </row>
    <row r="26" spans="1:8" x14ac:dyDescent="0.25">
      <c r="A26" t="s">
        <v>53</v>
      </c>
      <c r="B26" t="s">
        <v>49</v>
      </c>
      <c r="C26">
        <v>130</v>
      </c>
      <c r="D26">
        <v>5.2</v>
      </c>
      <c r="E26">
        <v>877</v>
      </c>
      <c r="F26">
        <v>0</v>
      </c>
      <c r="G26">
        <v>871.8</v>
      </c>
      <c r="H26" t="s">
        <v>41</v>
      </c>
    </row>
    <row r="27" spans="1:8" x14ac:dyDescent="0.25">
      <c r="A27" t="s">
        <v>53</v>
      </c>
      <c r="B27" t="s">
        <v>50</v>
      </c>
      <c r="C27">
        <v>576</v>
      </c>
      <c r="D27">
        <v>23.04</v>
      </c>
      <c r="E27">
        <v>2676</v>
      </c>
      <c r="F27">
        <v>0</v>
      </c>
      <c r="G27">
        <v>2652.96</v>
      </c>
      <c r="H27" t="s">
        <v>41</v>
      </c>
    </row>
    <row r="28" spans="1:8" x14ac:dyDescent="0.25">
      <c r="A28" t="s">
        <v>53</v>
      </c>
      <c r="B28" t="s">
        <v>51</v>
      </c>
      <c r="C28">
        <v>169</v>
      </c>
      <c r="D28">
        <v>6.76</v>
      </c>
      <c r="E28">
        <v>587</v>
      </c>
      <c r="F28">
        <v>0</v>
      </c>
      <c r="G28">
        <v>580.24</v>
      </c>
      <c r="H2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2026</vt:lpstr>
      <vt:lpstr>2031</vt:lpstr>
      <vt:lpstr>2026-1</vt:lpstr>
      <vt:lpstr>2031-1</vt:lpstr>
      <vt:lpstr>IPE-2026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Valencia</dc:creator>
  <cp:lastModifiedBy>Juan Valencia</cp:lastModifiedBy>
  <dcterms:created xsi:type="dcterms:W3CDTF">2026-10-23T12:27:56Z</dcterms:created>
  <dcterms:modified xsi:type="dcterms:W3CDTF">2026-10-23T18:31:38Z</dcterms:modified>
</cp:coreProperties>
</file>